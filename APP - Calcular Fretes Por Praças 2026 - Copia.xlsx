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luiz.pereira\Desktop\Calculadora_Frete\"/>
    </mc:Choice>
  </mc:AlternateContent>
  <xr:revisionPtr revIDLastSave="0" documentId="13_ncr:1_{7F3704B0-B119-4917-AD8B-D96E7A2C9512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LISTAS" sheetId="4" state="hidden" r:id="rId1"/>
    <sheet name="Valores Serviços Extras" sheetId="9" state="hidden" r:id="rId2"/>
    <sheet name="CÁLCULO_GERAL" sheetId="2" state="hidden" r:id="rId3"/>
    <sheet name="CÁLCULO_TON" sheetId="6" r:id="rId4"/>
    <sheet name="BASE_FRETE" sheetId="1" r:id="rId5"/>
    <sheet name="BASE_TON" sheetId="5" r:id="rId6"/>
    <sheet name="RASCUNHO" sheetId="10" state="hidden" r:id="rId7"/>
    <sheet name="Cópia_Geral" sheetId="7" state="hidden" r:id="rId8"/>
    <sheet name="Cópia_Ton" sheetId="8" state="hidden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5" i="10"/>
  <c r="C10" i="10"/>
  <c r="C11" i="10" s="1"/>
  <c r="R8" i="6"/>
  <c r="P8" i="6" s="1"/>
  <c r="C12" i="10" l="1"/>
  <c r="C28" i="10" s="1"/>
  <c r="P5" i="6"/>
  <c r="P6" i="6"/>
  <c r="P7" i="6"/>
  <c r="P4" i="6"/>
  <c r="F8" i="9" l="1"/>
  <c r="E8" i="9"/>
  <c r="D8" i="9"/>
  <c r="C8" i="9"/>
  <c r="B8" i="9"/>
  <c r="F7" i="9"/>
  <c r="E7" i="9"/>
  <c r="D7" i="9"/>
  <c r="C7" i="9"/>
  <c r="B7" i="9"/>
  <c r="B5" i="9"/>
  <c r="C15" i="8" l="1"/>
  <c r="C12" i="8"/>
  <c r="P10" i="8"/>
  <c r="C11" i="8" s="1"/>
  <c r="C15" i="7"/>
  <c r="C10" i="7"/>
  <c r="C9" i="7"/>
  <c r="C12" i="7" s="1"/>
  <c r="C27" i="7" s="1"/>
  <c r="C13" i="8" l="1"/>
  <c r="C14" i="8"/>
  <c r="C23" i="8" s="1"/>
  <c r="B3" i="8"/>
  <c r="C11" i="7"/>
  <c r="C10" i="2"/>
  <c r="P10" i="6"/>
  <c r="C11" i="6" s="1"/>
  <c r="C15" i="6"/>
  <c r="C12" i="6"/>
  <c r="C15" i="2"/>
  <c r="B3" i="6" l="1"/>
  <c r="C11" i="2"/>
  <c r="C12" i="2"/>
  <c r="C28" i="2" s="1"/>
  <c r="C13" i="6" l="1"/>
  <c r="C14" i="6"/>
  <c r="C2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Thaiane Andrande dos Santos</author>
  </authors>
  <commentList>
    <comment ref="B5" authorId="0" shapeId="0" xr:uid="{6C6212A5-6E39-4EC9-B522-910CF1B5A32E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500 + AGIO (20%)</t>
        </r>
      </text>
    </comment>
    <comment ref="B7" authorId="0" shapeId="0" xr:uid="{E69E6D9F-966B-4881-82A7-2FE58CDEB69A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700 + 20%
</t>
        </r>
      </text>
    </comment>
    <comment ref="B10" authorId="0" shapeId="0" xr:uid="{C88B4D6C-09F4-4226-A5DE-9BC5B9B78346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por m³</t>
        </r>
      </text>
    </comment>
    <comment ref="C10" authorId="0" shapeId="0" xr:uid="{5B93D23F-2E7F-4AE0-9E32-706091D8E6D7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por m³</t>
        </r>
      </text>
    </comment>
    <comment ref="D10" authorId="0" shapeId="0" xr:uid="{BE6C3871-039F-4D20-B99C-527DBFD65F99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por m³</t>
        </r>
      </text>
    </comment>
    <comment ref="E10" authorId="0" shapeId="0" xr:uid="{0FE81284-A1EB-4EB4-99BE-78C9EEEC9AE7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por m³</t>
        </r>
      </text>
    </comment>
    <comment ref="F10" authorId="0" shapeId="0" xr:uid="{22BEF49C-AE83-4787-B244-EFB9CC9BC509}">
      <text>
        <r>
          <rPr>
            <b/>
            <sz val="9"/>
            <color indexed="81"/>
            <rFont val="Segoe UI"/>
            <charset val="1"/>
          </rPr>
          <t>Thaiane Andrande dos Santos:</t>
        </r>
        <r>
          <rPr>
            <sz val="9"/>
            <color indexed="81"/>
            <rFont val="Segoe UI"/>
            <charset val="1"/>
          </rPr>
          <t xml:space="preserve">
por m³</t>
        </r>
      </text>
    </comment>
  </commentList>
</comments>
</file>

<file path=xl/sharedStrings.xml><?xml version="1.0" encoding="utf-8"?>
<sst xmlns="http://schemas.openxmlformats.org/spreadsheetml/2006/main" count="326" uniqueCount="104">
  <si>
    <t>CAMINHÃO TRUCK - IDA</t>
  </si>
  <si>
    <t>CAMINHÃO TRUCK - VOLTA</t>
  </si>
  <si>
    <t>CAMINHÃO TRUCK - IDA/VOLTA</t>
  </si>
  <si>
    <t>CAMINHÃO TOCO - IDA</t>
  </si>
  <si>
    <t>CAMINHÃO TOCO -VOLTA</t>
  </si>
  <si>
    <t>CAMINHÃO TOCO - IDA/VOLTA</t>
  </si>
  <si>
    <t>CAMINHÃO 3/4  - IDA</t>
  </si>
  <si>
    <t>CAMINHÃO 3/4  - VOLTA</t>
  </si>
  <si>
    <t>CAMINHÃO 3/4  - IDA/VOLTA</t>
  </si>
  <si>
    <t>CARRETA SEM CAVALO - IDA</t>
  </si>
  <si>
    <t>CARRETA SEM CAVALO - VOLTA</t>
  </si>
  <si>
    <t>CARRETA SEM CAVALO - IDA/VOLTA</t>
  </si>
  <si>
    <t>CARRETA COM CAVALO - IDA</t>
  </si>
  <si>
    <t>CARRETA COM CAVALO - VOLTA</t>
  </si>
  <si>
    <t>CARRETA COM CAVALO - IDA/VOLTA</t>
  </si>
  <si>
    <t>TRATORES  (UNIDADE) - IDA</t>
  </si>
  <si>
    <t>TRATORES  (UNIDADE) -VOLTA</t>
  </si>
  <si>
    <t>EQUIPAMENTO RODANTE POR TN. - IDA</t>
  </si>
  <si>
    <t>EQUIPAMENTO RODANTE POR TN. - VOLTA</t>
  </si>
  <si>
    <t>MOTOCICLETAS - IDA</t>
  </si>
  <si>
    <t>MOTOCICLETAS - VOLTA</t>
  </si>
  <si>
    <t>AUT. PEQUENO - IDA</t>
  </si>
  <si>
    <t>AUT. PEQUENO - VOLTA</t>
  </si>
  <si>
    <t>AUT. PEQUENO - IDA/VOLTA</t>
  </si>
  <si>
    <t>AUT. GRANDE - IDA</t>
  </si>
  <si>
    <t>AUT. GRANDE - VOLTA</t>
  </si>
  <si>
    <t>AUT. GRANDE - IDA/VOLTA</t>
  </si>
  <si>
    <t>UTILITÁRIOS - IDA</t>
  </si>
  <si>
    <t>UTILITÁRIOS - VOLTA</t>
  </si>
  <si>
    <t>UTILITÁRIOS - IDA/VOLTA</t>
  </si>
  <si>
    <t>CARRETA LS (ATÉ 30 TON) - IDA</t>
  </si>
  <si>
    <t>CARRETA LS (ATÉ 30 TON) - VOLTA</t>
  </si>
  <si>
    <t>CARRETA LS (ATÉ 30 TON) - IDA E VOLTA</t>
  </si>
  <si>
    <t>CONTAINER 20' - IDA</t>
  </si>
  <si>
    <t>CONTAINER 20' - VOLTA</t>
  </si>
  <si>
    <t>FRETE POR TONELADA - VOLTA</t>
  </si>
  <si>
    <t>MADEIRA - POR M3 - IDA</t>
  </si>
  <si>
    <t>MADEIRA - POR M3 - VOLTA</t>
  </si>
  <si>
    <t>MACAPÁ</t>
  </si>
  <si>
    <t>ALTAMIRA</t>
  </si>
  <si>
    <t>ITAITUBA</t>
  </si>
  <si>
    <t>SANTARÉM</t>
  </si>
  <si>
    <t>SANTARÉM - ITAITUBA</t>
  </si>
  <si>
    <t>CARRETA DA REICON BÁU - 3 EIXOS - IDA</t>
  </si>
  <si>
    <t>CARRETA DA REICON BÁU - 3 EIXOS - VOLTA</t>
  </si>
  <si>
    <t>CARRETA DA REICON BÁU - 2 EIXOS - IDA</t>
  </si>
  <si>
    <t>CARRETA DA REICON BÁU - 2 EIXOS - VOLTA</t>
  </si>
  <si>
    <t>Última alteração de preço: 16/02/23</t>
  </si>
  <si>
    <t>TABELA DE PREÇOS POR ROTA</t>
  </si>
  <si>
    <t>ROTA</t>
  </si>
  <si>
    <t>TIPO DE CARGA</t>
  </si>
  <si>
    <t>DESCONTO</t>
  </si>
  <si>
    <t>VALOR DA CARGA</t>
  </si>
  <si>
    <t>PESAGEM</t>
  </si>
  <si>
    <t>ESTIVA REMETENTE</t>
  </si>
  <si>
    <t>ESTIVA DESTINATÁRIO</t>
  </si>
  <si>
    <t>OVAÇÃO</t>
  </si>
  <si>
    <t>COLETA</t>
  </si>
  <si>
    <t>ENTREGA</t>
  </si>
  <si>
    <t>EXPURGO</t>
  </si>
  <si>
    <t>ENLONAMENTO</t>
  </si>
  <si>
    <t>TRANSBORDO</t>
  </si>
  <si>
    <t>AD VALOREM</t>
  </si>
  <si>
    <t>VALOR DO FRETE COM ICMS</t>
  </si>
  <si>
    <t>ICMS</t>
  </si>
  <si>
    <t>VALOR SEM ICMS</t>
  </si>
  <si>
    <t>VALOR COM DESCONTO</t>
  </si>
  <si>
    <t>DADOS DA CARGA</t>
  </si>
  <si>
    <t>BLM - MCP</t>
  </si>
  <si>
    <t>BLM - ALT</t>
  </si>
  <si>
    <t>BLM - ITB</t>
  </si>
  <si>
    <t>BLM - STM</t>
  </si>
  <si>
    <t>STM - ITB</t>
  </si>
  <si>
    <t>SERVIÇOS ADICIONAIS</t>
  </si>
  <si>
    <t>CÁLCULO DE FRETE</t>
  </si>
  <si>
    <t>PARAMETRIZAÇÃO</t>
  </si>
  <si>
    <t>VALORES DO FRETE</t>
  </si>
  <si>
    <t>ITEM</t>
  </si>
  <si>
    <t>BLM - MCP - BLM</t>
  </si>
  <si>
    <t>BLM - ALT - BLM</t>
  </si>
  <si>
    <t>BLM - ITB - BLM</t>
  </si>
  <si>
    <t>BLM - STM - BLM</t>
  </si>
  <si>
    <t>STM - ITB - STM</t>
  </si>
  <si>
    <t>TOTAL</t>
  </si>
  <si>
    <t>VALOR DO FRETE FINAL</t>
  </si>
  <si>
    <t>MODALIDADE</t>
  </si>
  <si>
    <t>IDA</t>
  </si>
  <si>
    <t>VOLTA</t>
  </si>
  <si>
    <t>IDA E VOLTA</t>
  </si>
  <si>
    <t>FRETE POR TONELADA - IDA</t>
  </si>
  <si>
    <t>CARGA TON</t>
  </si>
  <si>
    <t>PESO DA CARGA</t>
  </si>
  <si>
    <t>CÁLCULO DE FRETE POR TONELADA</t>
  </si>
  <si>
    <t>COLETA / ENTREGA</t>
  </si>
  <si>
    <t>TRANSBORDO ORIGEM</t>
  </si>
  <si>
    <t>TRANSBORDO DESTINO</t>
  </si>
  <si>
    <t>OUTROS</t>
  </si>
  <si>
    <t>Frete Mínimo</t>
  </si>
  <si>
    <t>Rota</t>
  </si>
  <si>
    <t>Valor</t>
  </si>
  <si>
    <t>Valor do Frete</t>
  </si>
  <si>
    <t>BASEADO EM FRETE POR TONELADA</t>
  </si>
  <si>
    <t>BASEADO NO VALOR MÍNIMO DO FRETE</t>
  </si>
  <si>
    <t>Última alteração de preço: 19/01/2026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</si>
</sst>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\ &quot;TON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0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44" fontId="3" fillId="7" borderId="0" xfId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4" fontId="0" fillId="12" borderId="0" xfId="1" applyFont="1" applyFill="1" applyAlignment="1">
      <alignment horizontal="center" vertical="center"/>
    </xf>
    <xf numFmtId="44" fontId="0" fillId="12" borderId="0" xfId="1" applyFont="1" applyFill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44" fontId="2" fillId="6" borderId="1" xfId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10" borderId="2" xfId="1" applyFont="1" applyFill="1" applyBorder="1" applyAlignment="1">
      <alignment horizontal="center" vertical="center"/>
    </xf>
    <xf numFmtId="9" fontId="0" fillId="10" borderId="2" xfId="2" applyFont="1" applyFill="1" applyBorder="1" applyAlignment="1">
      <alignment horizontal="center" vertical="center"/>
    </xf>
    <xf numFmtId="44" fontId="0" fillId="10" borderId="0" xfId="1" applyFont="1" applyFill="1" applyBorder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9" fontId="0" fillId="12" borderId="0" xfId="2" applyFont="1" applyFill="1" applyBorder="1" applyAlignment="1">
      <alignment horizontal="center" vertical="center"/>
    </xf>
    <xf numFmtId="9" fontId="0" fillId="16" borderId="2" xfId="2" applyFont="1" applyFill="1" applyBorder="1" applyAlignment="1">
      <alignment horizontal="center" vertical="center"/>
    </xf>
    <xf numFmtId="9" fontId="3" fillId="8" borderId="2" xfId="2" applyFont="1" applyFill="1" applyBorder="1" applyAlignment="1">
      <alignment horizontal="center" vertical="center"/>
    </xf>
    <xf numFmtId="9" fontId="0" fillId="12" borderId="0" xfId="2" applyFont="1" applyFill="1" applyAlignment="1">
      <alignment horizontal="center" vertical="center"/>
    </xf>
    <xf numFmtId="44" fontId="0" fillId="12" borderId="0" xfId="0" applyNumberFormat="1" applyFill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64" fontId="3" fillId="8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164" fontId="2" fillId="9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4" fontId="0" fillId="16" borderId="2" xfId="1" applyFont="1" applyFill="1" applyBorder="1" applyAlignment="1">
      <alignment horizontal="center" vertical="center"/>
    </xf>
    <xf numFmtId="164" fontId="0" fillId="16" borderId="2" xfId="1" applyNumberFormat="1" applyFont="1" applyFill="1" applyBorder="1" applyAlignment="1">
      <alignment horizontal="center" vertical="center"/>
    </xf>
    <xf numFmtId="165" fontId="0" fillId="16" borderId="2" xfId="1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4" fontId="3" fillId="13" borderId="2" xfId="1" applyNumberFormat="1" applyFont="1" applyFill="1" applyBorder="1" applyAlignment="1">
      <alignment horizontal="center" vertical="center"/>
    </xf>
    <xf numFmtId="9" fontId="3" fillId="13" borderId="2" xfId="2" applyFont="1" applyFill="1" applyBorder="1" applyAlignment="1">
      <alignment horizontal="center" vertical="center"/>
    </xf>
    <xf numFmtId="164" fontId="3" fillId="13" borderId="6" xfId="1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44" fontId="0" fillId="10" borderId="0" xfId="1" applyFont="1" applyFill="1" applyAlignment="1">
      <alignment horizontal="center" vertical="center"/>
    </xf>
    <xf numFmtId="44" fontId="5" fillId="15" borderId="0" xfId="1" applyFont="1" applyFill="1" applyAlignment="1">
      <alignment horizontal="center" vertical="center"/>
    </xf>
    <xf numFmtId="44" fontId="0" fillId="12" borderId="0" xfId="1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4" fontId="5" fillId="10" borderId="0" xfId="1" applyFont="1" applyFill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44" fontId="0" fillId="10" borderId="2" xfId="1" applyFont="1" applyFill="1" applyBorder="1" applyAlignment="1" applyProtection="1">
      <alignment horizontal="center" vertical="center"/>
      <protection locked="0"/>
    </xf>
    <xf numFmtId="9" fontId="0" fillId="10" borderId="2" xfId="2" applyFont="1" applyFill="1" applyBorder="1" applyAlignment="1" applyProtection="1">
      <alignment horizontal="center" vertical="center"/>
      <protection locked="0"/>
    </xf>
    <xf numFmtId="164" fontId="0" fillId="10" borderId="2" xfId="1" applyNumberFormat="1" applyFont="1" applyFill="1" applyBorder="1" applyAlignment="1" applyProtection="1">
      <alignment horizontal="center" vertical="center"/>
      <protection locked="0"/>
    </xf>
    <xf numFmtId="44" fontId="0" fillId="16" borderId="2" xfId="1" applyFont="1" applyFill="1" applyBorder="1" applyAlignment="1" applyProtection="1">
      <alignment horizontal="center" vertical="center"/>
      <protection locked="0"/>
    </xf>
    <xf numFmtId="9" fontId="0" fillId="16" borderId="2" xfId="2" applyFont="1" applyFill="1" applyBorder="1" applyAlignment="1" applyProtection="1">
      <alignment horizontal="center" vertical="center"/>
      <protection locked="0"/>
    </xf>
    <xf numFmtId="164" fontId="0" fillId="16" borderId="2" xfId="1" applyNumberFormat="1" applyFont="1" applyFill="1" applyBorder="1" applyAlignment="1" applyProtection="1">
      <alignment horizontal="center" vertical="center"/>
      <protection locked="0"/>
    </xf>
    <xf numFmtId="165" fontId="0" fillId="16" borderId="2" xfId="1" applyNumberFormat="1" applyFont="1" applyFill="1" applyBorder="1" applyAlignment="1" applyProtection="1">
      <alignment horizontal="center" vertical="center"/>
      <protection locked="0"/>
    </xf>
    <xf numFmtId="44" fontId="0" fillId="17" borderId="0" xfId="1" applyFont="1" applyFill="1" applyAlignment="1">
      <alignment horizontal="center" vertical="center"/>
    </xf>
    <xf numFmtId="44" fontId="0" fillId="10" borderId="0" xfId="1" applyFont="1" applyFill="1" applyAlignment="1" applyProtection="1">
      <alignment horizontal="center" vertical="center"/>
    </xf>
    <xf numFmtId="44" fontId="13" fillId="12" borderId="0" xfId="1" applyFont="1" applyFill="1" applyAlignment="1">
      <alignment horizontal="center" vertical="center"/>
    </xf>
    <xf numFmtId="44" fontId="13" fillId="12" borderId="0" xfId="1" applyFont="1" applyFill="1" applyBorder="1" applyAlignment="1">
      <alignment horizontal="center" vertical="center"/>
    </xf>
    <xf numFmtId="44" fontId="13" fillId="12" borderId="0" xfId="0" applyNumberFormat="1" applyFont="1" applyFill="1" applyAlignment="1">
      <alignment horizontal="center" vertical="center"/>
    </xf>
    <xf numFmtId="44" fontId="15" fillId="0" borderId="0" xfId="1" applyFont="1" applyAlignment="1">
      <alignment horizontal="right" vertical="center"/>
    </xf>
    <xf numFmtId="0" fontId="16" fillId="8" borderId="0" xfId="0" applyFont="1" applyFill="1" applyAlignment="1">
      <alignment horizontal="center" vertical="center"/>
    </xf>
    <xf numFmtId="44" fontId="15" fillId="0" borderId="0" xfId="1" applyFont="1"/>
    <xf numFmtId="0" fontId="7" fillId="13" borderId="4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9" fillId="14" borderId="7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26400"/>
      <color rgb="FFFF7B01"/>
      <color rgb="FF465FB0"/>
      <color rgb="FF3041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39607</xdr:colOff>
      <xdr:row>4</xdr:row>
      <xdr:rowOff>54142</xdr:rowOff>
    </xdr:from>
    <xdr:to>
      <xdr:col>12</xdr:col>
      <xdr:colOff>438765</xdr:colOff>
      <xdr:row>5</xdr:row>
      <xdr:rowOff>88788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734554" y="916405"/>
          <a:ext cx="5292000" cy="235172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CÁLCULO DE FRETE</a:t>
          </a:r>
          <a:endParaRPr lang="pt-BR" sz="1400" b="1"/>
        </a:p>
      </xdr:txBody>
    </xdr:sp>
    <xdr:clientData/>
  </xdr:twoCellAnchor>
  <xdr:twoCellAnchor editAs="absolute">
    <xdr:from>
      <xdr:col>4</xdr:col>
      <xdr:colOff>44369</xdr:colOff>
      <xdr:row>5</xdr:row>
      <xdr:rowOff>117865</xdr:rowOff>
    </xdr:from>
    <xdr:to>
      <xdr:col>12</xdr:col>
      <xdr:colOff>443527</xdr:colOff>
      <xdr:row>6</xdr:row>
      <xdr:rowOff>135633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739316" y="1180654"/>
          <a:ext cx="5292000" cy="21829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PARAMETRIZAÇÃO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44369</xdr:colOff>
      <xdr:row>6</xdr:row>
      <xdr:rowOff>154683</xdr:rowOff>
    </xdr:from>
    <xdr:to>
      <xdr:col>8</xdr:col>
      <xdr:colOff>53969</xdr:colOff>
      <xdr:row>7</xdr:row>
      <xdr:rowOff>210664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739316" y="1417999"/>
          <a:ext cx="2456021" cy="256507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ROTA</a:t>
          </a:r>
        </a:p>
      </xdr:txBody>
    </xdr:sp>
    <xdr:clientData/>
  </xdr:twoCellAnchor>
  <xdr:twoCellAnchor editAs="absolute">
    <xdr:from>
      <xdr:col>4</xdr:col>
      <xdr:colOff>44369</xdr:colOff>
      <xdr:row>8</xdr:row>
      <xdr:rowOff>8634</xdr:rowOff>
    </xdr:from>
    <xdr:to>
      <xdr:col>8</xdr:col>
      <xdr:colOff>53969</xdr:colOff>
      <xdr:row>9</xdr:row>
      <xdr:rowOff>56258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739316" y="1703081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TIPO DE CARGA</a:t>
          </a:r>
        </a:p>
      </xdr:txBody>
    </xdr:sp>
    <xdr:clientData/>
  </xdr:twoCellAnchor>
  <xdr:twoCellAnchor editAs="absolute">
    <xdr:from>
      <xdr:col>4</xdr:col>
      <xdr:colOff>44369</xdr:colOff>
      <xdr:row>9</xdr:row>
      <xdr:rowOff>94859</xdr:rowOff>
    </xdr:from>
    <xdr:to>
      <xdr:col>8</xdr:col>
      <xdr:colOff>53969</xdr:colOff>
      <xdr:row>10</xdr:row>
      <xdr:rowOff>142484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739316" y="1989833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DESCONTO</a:t>
          </a:r>
        </a:p>
      </xdr:txBody>
    </xdr:sp>
    <xdr:clientData/>
  </xdr:twoCellAnchor>
  <xdr:twoCellAnchor editAs="absolute">
    <xdr:from>
      <xdr:col>4</xdr:col>
      <xdr:colOff>30082</xdr:colOff>
      <xdr:row>12</xdr:row>
      <xdr:rowOff>48570</xdr:rowOff>
    </xdr:from>
    <xdr:to>
      <xdr:col>12</xdr:col>
      <xdr:colOff>429240</xdr:colOff>
      <xdr:row>13</xdr:row>
      <xdr:rowOff>28015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725029" y="2545123"/>
          <a:ext cx="5292000" cy="2100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VALORES DO FRETE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39607</xdr:colOff>
      <xdr:row>19</xdr:row>
      <xdr:rowOff>144705</xdr:rowOff>
    </xdr:from>
    <xdr:to>
      <xdr:col>6</xdr:col>
      <xdr:colOff>40396</xdr:colOff>
      <xdr:row>20</xdr:row>
      <xdr:rowOff>154231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5734554" y="4105100"/>
          <a:ext cx="1224000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REMETENTE</a:t>
          </a:r>
        </a:p>
      </xdr:txBody>
    </xdr:sp>
    <xdr:clientData/>
  </xdr:twoCellAnchor>
  <xdr:twoCellAnchor editAs="absolute">
    <xdr:from>
      <xdr:col>4</xdr:col>
      <xdr:colOff>39607</xdr:colOff>
      <xdr:row>20</xdr:row>
      <xdr:rowOff>183864</xdr:rowOff>
    </xdr:from>
    <xdr:to>
      <xdr:col>6</xdr:col>
      <xdr:colOff>40396</xdr:colOff>
      <xdr:row>21</xdr:row>
      <xdr:rowOff>193390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5734554" y="4344785"/>
          <a:ext cx="1224000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PESAGEM</a:t>
          </a:r>
        </a:p>
      </xdr:txBody>
    </xdr:sp>
    <xdr:clientData/>
  </xdr:twoCellAnchor>
  <xdr:twoCellAnchor editAs="absolute">
    <xdr:from>
      <xdr:col>4</xdr:col>
      <xdr:colOff>39607</xdr:colOff>
      <xdr:row>22</xdr:row>
      <xdr:rowOff>21438</xdr:rowOff>
    </xdr:from>
    <xdr:to>
      <xdr:col>6</xdr:col>
      <xdr:colOff>40396</xdr:colOff>
      <xdr:row>23</xdr:row>
      <xdr:rowOff>29291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5734554" y="4583412"/>
          <a:ext cx="1224000" cy="208379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DESTINATÁRIO</a:t>
          </a:r>
        </a:p>
      </xdr:txBody>
    </xdr:sp>
    <xdr:clientData/>
  </xdr:twoCellAnchor>
  <xdr:twoCellAnchor editAs="absolute">
    <xdr:from>
      <xdr:col>8</xdr:col>
      <xdr:colOff>91994</xdr:colOff>
      <xdr:row>6</xdr:row>
      <xdr:rowOff>164208</xdr:rowOff>
    </xdr:from>
    <xdr:to>
      <xdr:col>12</xdr:col>
      <xdr:colOff>431132</xdr:colOff>
      <xdr:row>7</xdr:row>
      <xdr:rowOff>220189</xdr:rowOff>
    </xdr:to>
    <xdr:sp macro="" textlink="$C$4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8233362" y="1427524"/>
          <a:ext cx="2785559" cy="25650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763D62-AB32-41A2-8554-21024FAAA7BD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BLM - ALT - BLM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91994</xdr:colOff>
      <xdr:row>8</xdr:row>
      <xdr:rowOff>18159</xdr:rowOff>
    </xdr:from>
    <xdr:to>
      <xdr:col>12</xdr:col>
      <xdr:colOff>431132</xdr:colOff>
      <xdr:row>9</xdr:row>
      <xdr:rowOff>65783</xdr:rowOff>
    </xdr:to>
    <xdr:sp macro="" textlink="$C$5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8233362" y="1712606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D49B42-D92E-4A25-A8A3-A50119900280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CAMINHÃO 3/4  - IDA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91994</xdr:colOff>
      <xdr:row>9</xdr:row>
      <xdr:rowOff>104384</xdr:rowOff>
    </xdr:from>
    <xdr:to>
      <xdr:col>12</xdr:col>
      <xdr:colOff>431132</xdr:colOff>
      <xdr:row>10</xdr:row>
      <xdr:rowOff>152009</xdr:rowOff>
    </xdr:to>
    <xdr:sp macro="" textlink="$C$7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8233362" y="1999358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AB8FAB-9D96-4519-8379-3CF2EEFE31B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0%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30082</xdr:colOff>
      <xdr:row>23</xdr:row>
      <xdr:rowOff>67391</xdr:rowOff>
    </xdr:from>
    <xdr:to>
      <xdr:col>6</xdr:col>
      <xdr:colOff>30871</xdr:colOff>
      <xdr:row>24</xdr:row>
      <xdr:rowOff>76917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5725029" y="4829891"/>
          <a:ext cx="1224000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OVAÇÃO</a:t>
          </a:r>
        </a:p>
      </xdr:txBody>
    </xdr:sp>
    <xdr:clientData/>
  </xdr:twoCellAnchor>
  <xdr:twoCellAnchor editAs="absolute">
    <xdr:from>
      <xdr:col>4</xdr:col>
      <xdr:colOff>30082</xdr:colOff>
      <xdr:row>24</xdr:row>
      <xdr:rowOff>105492</xdr:rowOff>
    </xdr:from>
    <xdr:to>
      <xdr:col>6</xdr:col>
      <xdr:colOff>30871</xdr:colOff>
      <xdr:row>25</xdr:row>
      <xdr:rowOff>115017</xdr:rowOff>
    </xdr:to>
    <xdr:sp macro="" textlink="">
      <xdr:nvSpPr>
        <xdr:cNvPr id="18" name="Retângulo Arredondad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725029" y="5068518"/>
          <a:ext cx="1224000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COLETA</a:t>
          </a:r>
        </a:p>
      </xdr:txBody>
    </xdr:sp>
    <xdr:clientData/>
  </xdr:twoCellAnchor>
  <xdr:twoCellAnchor editAs="absolute">
    <xdr:from>
      <xdr:col>8</xdr:col>
      <xdr:colOff>70187</xdr:colOff>
      <xdr:row>19</xdr:row>
      <xdr:rowOff>133008</xdr:rowOff>
    </xdr:from>
    <xdr:to>
      <xdr:col>10</xdr:col>
      <xdr:colOff>178976</xdr:colOff>
      <xdr:row>20</xdr:row>
      <xdr:rowOff>142533</xdr:rowOff>
    </xdr:to>
    <xdr:sp macro="" textlink="">
      <xdr:nvSpPr>
        <xdr:cNvPr id="19" name="Retângulo Arredondad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8211555" y="4093403"/>
          <a:ext cx="1332000" cy="2100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ENTREGA</a:t>
          </a:r>
        </a:p>
      </xdr:txBody>
    </xdr:sp>
    <xdr:clientData/>
  </xdr:twoCellAnchor>
  <xdr:twoCellAnchor editAs="absolute">
    <xdr:from>
      <xdr:col>8</xdr:col>
      <xdr:colOff>70187</xdr:colOff>
      <xdr:row>20</xdr:row>
      <xdr:rowOff>172166</xdr:rowOff>
    </xdr:from>
    <xdr:to>
      <xdr:col>10</xdr:col>
      <xdr:colOff>178976</xdr:colOff>
      <xdr:row>21</xdr:row>
      <xdr:rowOff>181693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8211555" y="4333087"/>
          <a:ext cx="1332000" cy="210053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EXPURGO</a:t>
          </a:r>
        </a:p>
      </xdr:txBody>
    </xdr:sp>
    <xdr:clientData/>
  </xdr:twoCellAnchor>
  <xdr:twoCellAnchor editAs="absolute">
    <xdr:from>
      <xdr:col>8</xdr:col>
      <xdr:colOff>70187</xdr:colOff>
      <xdr:row>22</xdr:row>
      <xdr:rowOff>9741</xdr:rowOff>
    </xdr:from>
    <xdr:to>
      <xdr:col>10</xdr:col>
      <xdr:colOff>178976</xdr:colOff>
      <xdr:row>23</xdr:row>
      <xdr:rowOff>19265</xdr:rowOff>
    </xdr:to>
    <xdr:sp macro="" textlink="">
      <xdr:nvSpPr>
        <xdr:cNvPr id="24" name="Retângulo Arredondado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211555" y="4571715"/>
          <a:ext cx="1332000" cy="2100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ENLONAMENTO</a:t>
          </a:r>
        </a:p>
      </xdr:txBody>
    </xdr:sp>
    <xdr:clientData/>
  </xdr:twoCellAnchor>
  <xdr:twoCellAnchor editAs="absolute">
    <xdr:from>
      <xdr:col>8</xdr:col>
      <xdr:colOff>70187</xdr:colOff>
      <xdr:row>23</xdr:row>
      <xdr:rowOff>57365</xdr:rowOff>
    </xdr:from>
    <xdr:to>
      <xdr:col>10</xdr:col>
      <xdr:colOff>178976</xdr:colOff>
      <xdr:row>24</xdr:row>
      <xdr:rowOff>56307</xdr:rowOff>
    </xdr:to>
    <xdr:sp macro="" textlink="">
      <xdr:nvSpPr>
        <xdr:cNvPr id="25" name="Retângulo Arredondad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8211555" y="4819865"/>
          <a:ext cx="1332000" cy="19946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</a:t>
          </a:r>
        </a:p>
      </xdr:txBody>
    </xdr:sp>
    <xdr:clientData/>
  </xdr:twoCellAnchor>
  <xdr:twoCellAnchor editAs="absolute">
    <xdr:from>
      <xdr:col>4</xdr:col>
      <xdr:colOff>34844</xdr:colOff>
      <xdr:row>25</xdr:row>
      <xdr:rowOff>145045</xdr:rowOff>
    </xdr:from>
    <xdr:to>
      <xdr:col>12</xdr:col>
      <xdr:colOff>434002</xdr:colOff>
      <xdr:row>26</xdr:row>
      <xdr:rowOff>143987</xdr:rowOff>
    </xdr:to>
    <xdr:sp macro="" textlink="">
      <xdr:nvSpPr>
        <xdr:cNvPr id="26" name="Retângulo Arredondad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5729791" y="5308598"/>
          <a:ext cx="5292000" cy="199468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TOTAL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44871</xdr:colOff>
      <xdr:row>15</xdr:row>
      <xdr:rowOff>182587</xdr:rowOff>
    </xdr:from>
    <xdr:to>
      <xdr:col>8</xdr:col>
      <xdr:colOff>54471</xdr:colOff>
      <xdr:row>16</xdr:row>
      <xdr:rowOff>169942</xdr:rowOff>
    </xdr:to>
    <xdr:sp macro="" textlink="">
      <xdr:nvSpPr>
        <xdr:cNvPr id="27" name="Retângulo Arredondado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5739818" y="3310798"/>
          <a:ext cx="2456021" cy="21796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SEM ICMS</a:t>
          </a:r>
        </a:p>
      </xdr:txBody>
    </xdr:sp>
    <xdr:clientData/>
  </xdr:twoCellAnchor>
  <xdr:twoCellAnchor editAs="absolute">
    <xdr:from>
      <xdr:col>4</xdr:col>
      <xdr:colOff>44871</xdr:colOff>
      <xdr:row>17</xdr:row>
      <xdr:rowOff>80</xdr:rowOff>
    </xdr:from>
    <xdr:to>
      <xdr:col>8</xdr:col>
      <xdr:colOff>54471</xdr:colOff>
      <xdr:row>18</xdr:row>
      <xdr:rowOff>15984</xdr:rowOff>
    </xdr:to>
    <xdr:sp macro="" textlink="">
      <xdr:nvSpPr>
        <xdr:cNvPr id="28" name="Retângulo Arredondado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5739818" y="3557333"/>
          <a:ext cx="2456021" cy="218519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ICMS</a:t>
          </a:r>
        </a:p>
      </xdr:txBody>
    </xdr:sp>
    <xdr:clientData/>
  </xdr:twoCellAnchor>
  <xdr:twoCellAnchor editAs="absolute">
    <xdr:from>
      <xdr:col>4</xdr:col>
      <xdr:colOff>34844</xdr:colOff>
      <xdr:row>26</xdr:row>
      <xdr:rowOff>170948</xdr:rowOff>
    </xdr:from>
    <xdr:to>
      <xdr:col>8</xdr:col>
      <xdr:colOff>44444</xdr:colOff>
      <xdr:row>27</xdr:row>
      <xdr:rowOff>260681</xdr:rowOff>
    </xdr:to>
    <xdr:sp macro="" textlink="">
      <xdr:nvSpPr>
        <xdr:cNvPr id="29" name="Retângulo Arredondad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729791" y="5535027"/>
          <a:ext cx="2456021" cy="290259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TOTAL FRETE</a:t>
          </a:r>
        </a:p>
      </xdr:txBody>
    </xdr:sp>
    <xdr:clientData/>
  </xdr:twoCellAnchor>
  <xdr:twoCellAnchor editAs="absolute">
    <xdr:from>
      <xdr:col>8</xdr:col>
      <xdr:colOff>92495</xdr:colOff>
      <xdr:row>15</xdr:row>
      <xdr:rowOff>181528</xdr:rowOff>
    </xdr:from>
    <xdr:to>
      <xdr:col>12</xdr:col>
      <xdr:colOff>429291</xdr:colOff>
      <xdr:row>16</xdr:row>
      <xdr:rowOff>169441</xdr:rowOff>
    </xdr:to>
    <xdr:sp macro="" textlink="$C$11">
      <xdr:nvSpPr>
        <xdr:cNvPr id="30" name="Retângulo Arredondad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233863" y="3309739"/>
          <a:ext cx="2783217" cy="21851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DAC9A0-1852-4A78-9E2C-87FB5321488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R$ 5.918,04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92495</xdr:colOff>
      <xdr:row>16</xdr:row>
      <xdr:rowOff>198016</xdr:rowOff>
    </xdr:from>
    <xdr:to>
      <xdr:col>12</xdr:col>
      <xdr:colOff>429291</xdr:colOff>
      <xdr:row>18</xdr:row>
      <xdr:rowOff>15483</xdr:rowOff>
    </xdr:to>
    <xdr:sp macro="" textlink="$C$10">
      <xdr:nvSpPr>
        <xdr:cNvPr id="31" name="Retângulo Arredondado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233863" y="3556832"/>
          <a:ext cx="2783217" cy="21851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01CB10-DF42-4189-AE04-41933F42A38F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19%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82468</xdr:colOff>
      <xdr:row>26</xdr:row>
      <xdr:rowOff>170447</xdr:rowOff>
    </xdr:from>
    <xdr:to>
      <xdr:col>12</xdr:col>
      <xdr:colOff>419264</xdr:colOff>
      <xdr:row>27</xdr:row>
      <xdr:rowOff>260180</xdr:rowOff>
    </xdr:to>
    <xdr:sp macro="" textlink="$C$28">
      <xdr:nvSpPr>
        <xdr:cNvPr id="32" name="Retângulo Arredondado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8223836" y="5534526"/>
          <a:ext cx="2783217" cy="29025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EBD57A-8884-4F1F-AD3B-723C82E818F7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R$ 7.476,10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49132</xdr:colOff>
      <xdr:row>14</xdr:row>
      <xdr:rowOff>116752</xdr:rowOff>
    </xdr:from>
    <xdr:to>
      <xdr:col>8</xdr:col>
      <xdr:colOff>53969</xdr:colOff>
      <xdr:row>15</xdr:row>
      <xdr:rowOff>154850</xdr:rowOff>
    </xdr:to>
    <xdr:sp macro="" textlink="">
      <xdr:nvSpPr>
        <xdr:cNvPr id="34" name="Retângulo Arredondad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744079" y="3044436"/>
          <a:ext cx="2451258" cy="23862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COM ICMS</a:t>
          </a:r>
        </a:p>
      </xdr:txBody>
    </xdr:sp>
    <xdr:clientData/>
  </xdr:twoCellAnchor>
  <xdr:twoCellAnchor editAs="absolute">
    <xdr:from>
      <xdr:col>6</xdr:col>
      <xdr:colOff>77709</xdr:colOff>
      <xdr:row>19</xdr:row>
      <xdr:rowOff>135180</xdr:rowOff>
    </xdr:from>
    <xdr:to>
      <xdr:col>8</xdr:col>
      <xdr:colOff>42499</xdr:colOff>
      <xdr:row>20</xdr:row>
      <xdr:rowOff>144706</xdr:rowOff>
    </xdr:to>
    <xdr:sp macro="" textlink="$C$17">
      <xdr:nvSpPr>
        <xdr:cNvPr id="48" name="Retângulo Arredondado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6995867" y="4095575"/>
          <a:ext cx="1188000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01D36CE-9F60-422B-93A2-130EE06A4815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77709</xdr:colOff>
      <xdr:row>20</xdr:row>
      <xdr:rowOff>174339</xdr:rowOff>
    </xdr:from>
    <xdr:to>
      <xdr:col>8</xdr:col>
      <xdr:colOff>42499</xdr:colOff>
      <xdr:row>21</xdr:row>
      <xdr:rowOff>183865</xdr:rowOff>
    </xdr:to>
    <xdr:sp macro="" textlink="$C$18">
      <xdr:nvSpPr>
        <xdr:cNvPr id="49" name="Retângulo Arredondado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6995867" y="4335260"/>
          <a:ext cx="1188000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13F3EA9-87A6-4790-8643-1542287A5DF1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77709</xdr:colOff>
      <xdr:row>22</xdr:row>
      <xdr:rowOff>11913</xdr:rowOff>
    </xdr:from>
    <xdr:to>
      <xdr:col>8</xdr:col>
      <xdr:colOff>42499</xdr:colOff>
      <xdr:row>23</xdr:row>
      <xdr:rowOff>19766</xdr:rowOff>
    </xdr:to>
    <xdr:sp macro="" textlink="$C$19">
      <xdr:nvSpPr>
        <xdr:cNvPr id="50" name="Retângulo Arredondado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6995867" y="4573887"/>
          <a:ext cx="1188000" cy="20837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BEABA3-FC7B-461B-9D82-E3E034261AB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68184</xdr:colOff>
      <xdr:row>23</xdr:row>
      <xdr:rowOff>57866</xdr:rowOff>
    </xdr:from>
    <xdr:to>
      <xdr:col>8</xdr:col>
      <xdr:colOff>32974</xdr:colOff>
      <xdr:row>24</xdr:row>
      <xdr:rowOff>67392</xdr:rowOff>
    </xdr:to>
    <xdr:sp macro="" textlink="$C$20">
      <xdr:nvSpPr>
        <xdr:cNvPr id="51" name="Retângulo Arredondado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6986342" y="4820366"/>
          <a:ext cx="1188000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9193055-AA7B-4052-852A-F2CB4D6DCFD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68182</xdr:colOff>
      <xdr:row>24</xdr:row>
      <xdr:rowOff>95967</xdr:rowOff>
    </xdr:from>
    <xdr:to>
      <xdr:col>8</xdr:col>
      <xdr:colOff>32972</xdr:colOff>
      <xdr:row>25</xdr:row>
      <xdr:rowOff>105492</xdr:rowOff>
    </xdr:to>
    <xdr:sp macro="" textlink="$C$21">
      <xdr:nvSpPr>
        <xdr:cNvPr id="52" name="Retângulo Arredondado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6986340" y="5058993"/>
          <a:ext cx="1188000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C7958A-EE64-4F0C-86D7-7012573C033D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19</xdr:row>
      <xdr:rowOff>133509</xdr:rowOff>
    </xdr:from>
    <xdr:to>
      <xdr:col>12</xdr:col>
      <xdr:colOff>409396</xdr:colOff>
      <xdr:row>20</xdr:row>
      <xdr:rowOff>143034</xdr:rowOff>
    </xdr:to>
    <xdr:sp macro="" textlink="$C$22">
      <xdr:nvSpPr>
        <xdr:cNvPr id="53" name="Retângulo Arredondado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9593185" y="4093904"/>
          <a:ext cx="1404000" cy="2100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44894BC-5935-4E51-A28D-F54E90545E5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20</xdr:row>
      <xdr:rowOff>172667</xdr:rowOff>
    </xdr:from>
    <xdr:to>
      <xdr:col>12</xdr:col>
      <xdr:colOff>409396</xdr:colOff>
      <xdr:row>21</xdr:row>
      <xdr:rowOff>182194</xdr:rowOff>
    </xdr:to>
    <xdr:sp macro="" textlink="$C$23">
      <xdr:nvSpPr>
        <xdr:cNvPr id="54" name="Retângulo Arredondado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9593185" y="4333588"/>
          <a:ext cx="1404000" cy="21005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5FE557-6353-4BB0-AF34-DDA85AC15A0F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22</xdr:row>
      <xdr:rowOff>10242</xdr:rowOff>
    </xdr:from>
    <xdr:to>
      <xdr:col>12</xdr:col>
      <xdr:colOff>409396</xdr:colOff>
      <xdr:row>23</xdr:row>
      <xdr:rowOff>19766</xdr:rowOff>
    </xdr:to>
    <xdr:sp macro="" textlink="$C$24">
      <xdr:nvSpPr>
        <xdr:cNvPr id="55" name="Retângulo Arredondado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9593185" y="4572216"/>
          <a:ext cx="1404000" cy="2100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53FDD0-91CD-46D9-821D-D5F209A9B77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23</xdr:row>
      <xdr:rowOff>57866</xdr:rowOff>
    </xdr:from>
    <xdr:to>
      <xdr:col>12</xdr:col>
      <xdr:colOff>409396</xdr:colOff>
      <xdr:row>24</xdr:row>
      <xdr:rowOff>56808</xdr:rowOff>
    </xdr:to>
    <xdr:sp macro="" textlink="$C$25">
      <xdr:nvSpPr>
        <xdr:cNvPr id="56" name="Retângulo Arredondado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9593185" y="4820366"/>
          <a:ext cx="1404000" cy="1994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8F42ED-C77A-401D-84C9-24435B224F7E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87232</xdr:colOff>
      <xdr:row>14</xdr:row>
      <xdr:rowOff>117253</xdr:rowOff>
    </xdr:from>
    <xdr:to>
      <xdr:col>12</xdr:col>
      <xdr:colOff>418464</xdr:colOff>
      <xdr:row>15</xdr:row>
      <xdr:rowOff>155351</xdr:rowOff>
    </xdr:to>
    <xdr:sp macro="" textlink="$C$12">
      <xdr:nvSpPr>
        <xdr:cNvPr id="58" name="Retângulo Arredondado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8228600" y="3044937"/>
          <a:ext cx="2777653" cy="23862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A51031-6DFC-4CAB-86FA-C096EF17A356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R$ 7.306,22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49132</xdr:colOff>
      <xdr:row>13</xdr:row>
      <xdr:rowOff>51190</xdr:rowOff>
    </xdr:from>
    <xdr:to>
      <xdr:col>8</xdr:col>
      <xdr:colOff>53969</xdr:colOff>
      <xdr:row>14</xdr:row>
      <xdr:rowOff>96587</xdr:rowOff>
    </xdr:to>
    <xdr:sp macro="" textlink="">
      <xdr:nvSpPr>
        <xdr:cNvPr id="59" name="Retângulo Arredondado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5744079" y="2778348"/>
          <a:ext cx="2451258" cy="245923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AD VALOREM</a:t>
          </a:r>
        </a:p>
      </xdr:txBody>
    </xdr:sp>
    <xdr:clientData/>
  </xdr:twoCellAnchor>
  <xdr:twoCellAnchor editAs="absolute">
    <xdr:from>
      <xdr:col>8</xdr:col>
      <xdr:colOff>87232</xdr:colOff>
      <xdr:row>13</xdr:row>
      <xdr:rowOff>51691</xdr:rowOff>
    </xdr:from>
    <xdr:to>
      <xdr:col>12</xdr:col>
      <xdr:colOff>418464</xdr:colOff>
      <xdr:row>14</xdr:row>
      <xdr:rowOff>99317</xdr:rowOff>
    </xdr:to>
    <xdr:sp macro="" textlink="$C$15">
      <xdr:nvSpPr>
        <xdr:cNvPr id="60" name="Retângulo Arredondado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8228600" y="2778849"/>
          <a:ext cx="2777653" cy="24815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D2299C6-8C30-4E1B-A9EF-95BBABAFCEF8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R$ 169,88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46378</xdr:colOff>
      <xdr:row>10</xdr:row>
      <xdr:rowOff>167051</xdr:rowOff>
    </xdr:from>
    <xdr:to>
      <xdr:col>8</xdr:col>
      <xdr:colOff>55978</xdr:colOff>
      <xdr:row>12</xdr:row>
      <xdr:rowOff>14149</xdr:rowOff>
    </xdr:to>
    <xdr:sp macro="" textlink="">
      <xdr:nvSpPr>
        <xdr:cNvPr id="98" name="Retângulo Arredondado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5741325" y="2262551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VALOR DA CARGA</a:t>
          </a:r>
        </a:p>
      </xdr:txBody>
    </xdr:sp>
    <xdr:clientData/>
  </xdr:twoCellAnchor>
  <xdr:twoCellAnchor editAs="absolute">
    <xdr:from>
      <xdr:col>8</xdr:col>
      <xdr:colOff>94003</xdr:colOff>
      <xdr:row>10</xdr:row>
      <xdr:rowOff>176576</xdr:rowOff>
    </xdr:from>
    <xdr:to>
      <xdr:col>12</xdr:col>
      <xdr:colOff>433141</xdr:colOff>
      <xdr:row>12</xdr:row>
      <xdr:rowOff>23674</xdr:rowOff>
    </xdr:to>
    <xdr:sp macro="" textlink="$C$14">
      <xdr:nvSpPr>
        <xdr:cNvPr id="99" name="Retângulo Arredondado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8235371" y="2272076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DD76CC-FAF3-4F0C-BDBA-A54D31EBFF12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R$ 68.800,00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150397</xdr:colOff>
      <xdr:row>1</xdr:row>
      <xdr:rowOff>95249</xdr:rowOff>
    </xdr:from>
    <xdr:to>
      <xdr:col>5</xdr:col>
      <xdr:colOff>349251</xdr:colOff>
      <xdr:row>3</xdr:row>
      <xdr:rowOff>103723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9397" y="246062"/>
          <a:ext cx="841792" cy="508536"/>
        </a:xfrm>
        <a:prstGeom prst="rect">
          <a:avLst/>
        </a:prstGeom>
      </xdr:spPr>
    </xdr:pic>
    <xdr:clientData/>
  </xdr:twoCellAnchor>
  <xdr:twoCellAnchor editAs="absolute">
    <xdr:from>
      <xdr:col>5</xdr:col>
      <xdr:colOff>587539</xdr:colOff>
      <xdr:row>1</xdr:row>
      <xdr:rowOff>100263</xdr:rowOff>
    </xdr:from>
    <xdr:to>
      <xdr:col>12</xdr:col>
      <xdr:colOff>320842</xdr:colOff>
      <xdr:row>2</xdr:row>
      <xdr:rowOff>71526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6894092" y="250658"/>
          <a:ext cx="4014539" cy="252000"/>
        </a:xfrm>
        <a:prstGeom prst="round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bg1"/>
              </a:solidFill>
              <a:latin typeface="Bahnschrift" panose="020B0502040204020203" pitchFamily="34" charset="0"/>
            </a:rPr>
            <a:t>Cliente:</a:t>
          </a:r>
          <a:endParaRPr lang="pt-BR" sz="1200" b="1" baseline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587539</xdr:colOff>
      <xdr:row>2</xdr:row>
      <xdr:rowOff>142372</xdr:rowOff>
    </xdr:from>
    <xdr:to>
      <xdr:col>12</xdr:col>
      <xdr:colOff>320842</xdr:colOff>
      <xdr:row>3</xdr:row>
      <xdr:rowOff>163767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6894092" y="573504"/>
          <a:ext cx="4014539" cy="252000"/>
        </a:xfrm>
        <a:prstGeom prst="round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2">
                  <a:lumMod val="50000"/>
                </a:schemeClr>
              </a:solidFill>
              <a:latin typeface="Bahnschrift" panose="020B0502040204020203" pitchFamily="34" charset="0"/>
            </a:rPr>
            <a:t>Responsável:</a:t>
          </a:r>
        </a:p>
      </xdr:txBody>
    </xdr:sp>
    <xdr:clientData/>
  </xdr:twoCellAnchor>
  <xdr:twoCellAnchor>
    <xdr:from>
      <xdr:col>3</xdr:col>
      <xdr:colOff>150395</xdr:colOff>
      <xdr:row>0</xdr:row>
      <xdr:rowOff>150394</xdr:rowOff>
    </xdr:from>
    <xdr:to>
      <xdr:col>12</xdr:col>
      <xdr:colOff>521368</xdr:colOff>
      <xdr:row>28</xdr:row>
      <xdr:rowOff>30079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594684" y="150394"/>
          <a:ext cx="5514473" cy="5745080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72193</xdr:colOff>
      <xdr:row>24</xdr:row>
      <xdr:rowOff>99473</xdr:rowOff>
    </xdr:from>
    <xdr:to>
      <xdr:col>10</xdr:col>
      <xdr:colOff>180982</xdr:colOff>
      <xdr:row>25</xdr:row>
      <xdr:rowOff>98414</xdr:rowOff>
    </xdr:to>
    <xdr:sp macro="" textlink="">
      <xdr:nvSpPr>
        <xdr:cNvPr id="46" name="Retângulo Arredondado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8213561" y="5062499"/>
          <a:ext cx="1332000" cy="19946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OUTROS</a:t>
          </a:r>
        </a:p>
      </xdr:txBody>
    </xdr:sp>
    <xdr:clientData/>
  </xdr:twoCellAnchor>
  <xdr:twoCellAnchor editAs="absolute">
    <xdr:from>
      <xdr:col>10</xdr:col>
      <xdr:colOff>230612</xdr:colOff>
      <xdr:row>24</xdr:row>
      <xdr:rowOff>99974</xdr:rowOff>
    </xdr:from>
    <xdr:to>
      <xdr:col>12</xdr:col>
      <xdr:colOff>411402</xdr:colOff>
      <xdr:row>25</xdr:row>
      <xdr:rowOff>98915</xdr:rowOff>
    </xdr:to>
    <xdr:sp macro="" textlink="$C$26">
      <xdr:nvSpPr>
        <xdr:cNvPr id="47" name="Retângulo Arredondado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9595191" y="5063000"/>
          <a:ext cx="1404000" cy="1994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ED2BAA-C938-459C-9F8E-48F8786E4836}" type="TxLink"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46875</xdr:colOff>
      <xdr:row>18</xdr:row>
      <xdr:rowOff>56814</xdr:rowOff>
    </xdr:from>
    <xdr:to>
      <xdr:col>12</xdr:col>
      <xdr:colOff>446033</xdr:colOff>
      <xdr:row>19</xdr:row>
      <xdr:rowOff>55755</xdr:rowOff>
    </xdr:to>
    <xdr:sp macro="" textlink="">
      <xdr:nvSpPr>
        <xdr:cNvPr id="57" name="Retângulo Arredondado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5741822" y="3816682"/>
          <a:ext cx="5292000" cy="199468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SERVIÇOS ADICIONAIS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129844</xdr:colOff>
      <xdr:row>3</xdr:row>
      <xdr:rowOff>224590</xdr:rowOff>
    </xdr:from>
    <xdr:to>
      <xdr:col>12</xdr:col>
      <xdr:colOff>529002</xdr:colOff>
      <xdr:row>5</xdr:row>
      <xdr:rowOff>28630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824791" y="896353"/>
          <a:ext cx="5292000" cy="235172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CÁLCULO DE FRETE POR TONELADA</a:t>
          </a:r>
          <a:endParaRPr lang="pt-BR" sz="1400" b="1"/>
        </a:p>
      </xdr:txBody>
    </xdr:sp>
    <xdr:clientData/>
  </xdr:twoCellAnchor>
  <xdr:twoCellAnchor editAs="absolute">
    <xdr:from>
      <xdr:col>4</xdr:col>
      <xdr:colOff>134606</xdr:colOff>
      <xdr:row>5</xdr:row>
      <xdr:rowOff>47681</xdr:rowOff>
    </xdr:from>
    <xdr:to>
      <xdr:col>12</xdr:col>
      <xdr:colOff>533764</xdr:colOff>
      <xdr:row>6</xdr:row>
      <xdr:rowOff>65450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829553" y="1150576"/>
          <a:ext cx="5292000" cy="21829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PARAMETRIZAÇÃO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134606</xdr:colOff>
      <xdr:row>6</xdr:row>
      <xdr:rowOff>84500</xdr:rowOff>
    </xdr:from>
    <xdr:to>
      <xdr:col>8</xdr:col>
      <xdr:colOff>144206</xdr:colOff>
      <xdr:row>7</xdr:row>
      <xdr:rowOff>140481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829553" y="1387921"/>
          <a:ext cx="2456021" cy="256507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ROTA</a:t>
          </a:r>
        </a:p>
      </xdr:txBody>
    </xdr:sp>
    <xdr:clientData/>
  </xdr:twoCellAnchor>
  <xdr:twoCellAnchor editAs="absolute">
    <xdr:from>
      <xdr:col>4</xdr:col>
      <xdr:colOff>134606</xdr:colOff>
      <xdr:row>7</xdr:row>
      <xdr:rowOff>169056</xdr:rowOff>
    </xdr:from>
    <xdr:to>
      <xdr:col>8</xdr:col>
      <xdr:colOff>144206</xdr:colOff>
      <xdr:row>9</xdr:row>
      <xdr:rowOff>16154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829553" y="1673003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TIPO DE CARGA</a:t>
          </a:r>
        </a:p>
      </xdr:txBody>
    </xdr:sp>
    <xdr:clientData/>
  </xdr:twoCellAnchor>
  <xdr:twoCellAnchor editAs="absolute">
    <xdr:from>
      <xdr:col>4</xdr:col>
      <xdr:colOff>134606</xdr:colOff>
      <xdr:row>9</xdr:row>
      <xdr:rowOff>54755</xdr:rowOff>
    </xdr:from>
    <xdr:to>
      <xdr:col>8</xdr:col>
      <xdr:colOff>144206</xdr:colOff>
      <xdr:row>10</xdr:row>
      <xdr:rowOff>72301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829553" y="1959755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DESCONTO</a:t>
          </a:r>
        </a:p>
      </xdr:txBody>
    </xdr:sp>
    <xdr:clientData/>
  </xdr:twoCellAnchor>
  <xdr:twoCellAnchor editAs="absolute">
    <xdr:from>
      <xdr:col>4</xdr:col>
      <xdr:colOff>120319</xdr:colOff>
      <xdr:row>13</xdr:row>
      <xdr:rowOff>68623</xdr:rowOff>
    </xdr:from>
    <xdr:to>
      <xdr:col>12</xdr:col>
      <xdr:colOff>519477</xdr:colOff>
      <xdr:row>14</xdr:row>
      <xdr:rowOff>78146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815266" y="2805807"/>
          <a:ext cx="5292000" cy="21005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VALORES DO FRETE E SERVIÇOS ADICIONAIS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129844</xdr:colOff>
      <xdr:row>19</xdr:row>
      <xdr:rowOff>114628</xdr:rowOff>
    </xdr:from>
    <xdr:to>
      <xdr:col>8</xdr:col>
      <xdr:colOff>134681</xdr:colOff>
      <xdr:row>20</xdr:row>
      <xdr:rowOff>124154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824791" y="4085049"/>
          <a:ext cx="2451258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PESAGEM</a:t>
          </a:r>
        </a:p>
      </xdr:txBody>
    </xdr:sp>
    <xdr:clientData/>
  </xdr:twoCellAnchor>
  <xdr:twoCellAnchor editAs="absolute">
    <xdr:from>
      <xdr:col>4</xdr:col>
      <xdr:colOff>129844</xdr:colOff>
      <xdr:row>20</xdr:row>
      <xdr:rowOff>153787</xdr:rowOff>
    </xdr:from>
    <xdr:to>
      <xdr:col>8</xdr:col>
      <xdr:colOff>134681</xdr:colOff>
      <xdr:row>21</xdr:row>
      <xdr:rowOff>163312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824791" y="4324734"/>
          <a:ext cx="2451258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COLETA / ENTREGA</a:t>
          </a:r>
        </a:p>
      </xdr:txBody>
    </xdr:sp>
    <xdr:clientData/>
  </xdr:twoCellAnchor>
  <xdr:twoCellAnchor editAs="absolute">
    <xdr:from>
      <xdr:col>4</xdr:col>
      <xdr:colOff>129844</xdr:colOff>
      <xdr:row>21</xdr:row>
      <xdr:rowOff>191887</xdr:rowOff>
    </xdr:from>
    <xdr:to>
      <xdr:col>8</xdr:col>
      <xdr:colOff>134681</xdr:colOff>
      <xdr:row>22</xdr:row>
      <xdr:rowOff>199740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824791" y="4563361"/>
          <a:ext cx="2451258" cy="208379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 ORIGEM</a:t>
          </a:r>
        </a:p>
      </xdr:txBody>
    </xdr:sp>
    <xdr:clientData/>
  </xdr:twoCellAnchor>
  <xdr:twoCellAnchor editAs="absolute">
    <xdr:from>
      <xdr:col>8</xdr:col>
      <xdr:colOff>182231</xdr:colOff>
      <xdr:row>6</xdr:row>
      <xdr:rowOff>94025</xdr:rowOff>
    </xdr:from>
    <xdr:to>
      <xdr:col>12</xdr:col>
      <xdr:colOff>521369</xdr:colOff>
      <xdr:row>7</xdr:row>
      <xdr:rowOff>150006</xdr:rowOff>
    </xdr:to>
    <xdr:sp macro="" textlink="$C$5">
      <xdr:nvSpPr>
        <xdr:cNvPr id="11" name="Retângulo Arredondad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323599" y="1397446"/>
          <a:ext cx="2785559" cy="25650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763D62-AB32-41A2-8554-21024FAAA7BD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STM - ITB - STM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182231</xdr:colOff>
      <xdr:row>7</xdr:row>
      <xdr:rowOff>178581</xdr:rowOff>
    </xdr:from>
    <xdr:to>
      <xdr:col>12</xdr:col>
      <xdr:colOff>521369</xdr:colOff>
      <xdr:row>9</xdr:row>
      <xdr:rowOff>25679</xdr:rowOff>
    </xdr:to>
    <xdr:sp macro="" textlink="$C$6">
      <xdr:nvSpPr>
        <xdr:cNvPr id="12" name="Retângulo Arredondad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323599" y="1682528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D49B42-D92E-4A25-A8A3-A50119900280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FRETE POR TONELADA - VOLTA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182231</xdr:colOff>
      <xdr:row>9</xdr:row>
      <xdr:rowOff>64280</xdr:rowOff>
    </xdr:from>
    <xdr:to>
      <xdr:col>12</xdr:col>
      <xdr:colOff>521369</xdr:colOff>
      <xdr:row>10</xdr:row>
      <xdr:rowOff>81826</xdr:rowOff>
    </xdr:to>
    <xdr:sp macro="" textlink="$C$7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323599" y="1969280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AB8FAB-9D96-4519-8379-3CF2EEFE31B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0%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120319</xdr:colOff>
      <xdr:row>22</xdr:row>
      <xdr:rowOff>237840</xdr:rowOff>
    </xdr:from>
    <xdr:to>
      <xdr:col>8</xdr:col>
      <xdr:colOff>125156</xdr:colOff>
      <xdr:row>23</xdr:row>
      <xdr:rowOff>147103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815266" y="4809840"/>
          <a:ext cx="2451258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 DESTINO</a:t>
          </a:r>
        </a:p>
      </xdr:txBody>
    </xdr:sp>
    <xdr:clientData/>
  </xdr:twoCellAnchor>
  <xdr:twoCellAnchor editAs="absolute">
    <xdr:from>
      <xdr:col>4</xdr:col>
      <xdr:colOff>120319</xdr:colOff>
      <xdr:row>23</xdr:row>
      <xdr:rowOff>175678</xdr:rowOff>
    </xdr:from>
    <xdr:to>
      <xdr:col>8</xdr:col>
      <xdr:colOff>125156</xdr:colOff>
      <xdr:row>24</xdr:row>
      <xdr:rowOff>185203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815266" y="5048467"/>
          <a:ext cx="2451258" cy="2100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OUTROS</a:t>
          </a:r>
        </a:p>
      </xdr:txBody>
    </xdr:sp>
    <xdr:clientData/>
  </xdr:twoCellAnchor>
  <xdr:twoCellAnchor editAs="absolute">
    <xdr:from>
      <xdr:col>4</xdr:col>
      <xdr:colOff>125081</xdr:colOff>
      <xdr:row>25</xdr:row>
      <xdr:rowOff>24725</xdr:rowOff>
    </xdr:from>
    <xdr:to>
      <xdr:col>12</xdr:col>
      <xdr:colOff>524239</xdr:colOff>
      <xdr:row>26</xdr:row>
      <xdr:rowOff>23667</xdr:rowOff>
    </xdr:to>
    <xdr:sp macro="" textlink="">
      <xdr:nvSpPr>
        <xdr:cNvPr id="20" name="Retângulo Arredondad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820028" y="5298567"/>
          <a:ext cx="5292000" cy="199468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TOTAL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135108</xdr:colOff>
      <xdr:row>17</xdr:row>
      <xdr:rowOff>2114</xdr:rowOff>
    </xdr:from>
    <xdr:to>
      <xdr:col>8</xdr:col>
      <xdr:colOff>144708</xdr:colOff>
      <xdr:row>18</xdr:row>
      <xdr:rowOff>19547</xdr:rowOff>
    </xdr:to>
    <xdr:sp macro="" textlink="">
      <xdr:nvSpPr>
        <xdr:cNvPr id="21" name="Retângulo Arredondad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830055" y="3571482"/>
          <a:ext cx="2456021" cy="21796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SEM ICMS</a:t>
          </a:r>
        </a:p>
      </xdr:txBody>
    </xdr:sp>
    <xdr:clientData/>
  </xdr:twoCellAnchor>
  <xdr:twoCellAnchor editAs="absolute">
    <xdr:from>
      <xdr:col>4</xdr:col>
      <xdr:colOff>135108</xdr:colOff>
      <xdr:row>18</xdr:row>
      <xdr:rowOff>48122</xdr:rowOff>
    </xdr:from>
    <xdr:to>
      <xdr:col>8</xdr:col>
      <xdr:colOff>144708</xdr:colOff>
      <xdr:row>19</xdr:row>
      <xdr:rowOff>66115</xdr:rowOff>
    </xdr:to>
    <xdr:sp macro="" textlink="">
      <xdr:nvSpPr>
        <xdr:cNvPr id="22" name="Retângulo Arredondad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830055" y="3818017"/>
          <a:ext cx="2456021" cy="218519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ICMS</a:t>
          </a:r>
        </a:p>
      </xdr:txBody>
    </xdr:sp>
    <xdr:clientData/>
  </xdr:twoCellAnchor>
  <xdr:twoCellAnchor editAs="absolute">
    <xdr:from>
      <xdr:col>4</xdr:col>
      <xdr:colOff>125081</xdr:colOff>
      <xdr:row>26</xdr:row>
      <xdr:rowOff>44556</xdr:rowOff>
    </xdr:from>
    <xdr:to>
      <xdr:col>8</xdr:col>
      <xdr:colOff>134681</xdr:colOff>
      <xdr:row>27</xdr:row>
      <xdr:rowOff>180471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820028" y="5518924"/>
          <a:ext cx="2456021" cy="336442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TOTAL FRETE</a:t>
          </a:r>
        </a:p>
      </xdr:txBody>
    </xdr:sp>
    <xdr:clientData/>
  </xdr:twoCellAnchor>
  <xdr:twoCellAnchor editAs="absolute">
    <xdr:from>
      <xdr:col>8</xdr:col>
      <xdr:colOff>182732</xdr:colOff>
      <xdr:row>17</xdr:row>
      <xdr:rowOff>1055</xdr:rowOff>
    </xdr:from>
    <xdr:to>
      <xdr:col>12</xdr:col>
      <xdr:colOff>519528</xdr:colOff>
      <xdr:row>18</xdr:row>
      <xdr:rowOff>19046</xdr:rowOff>
    </xdr:to>
    <xdr:sp macro="" textlink="$C$13">
      <xdr:nvSpPr>
        <xdr:cNvPr id="24" name="Retângulo Arredondad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324100" y="3570423"/>
          <a:ext cx="2783217" cy="21851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DAC9A0-1852-4A78-9E2C-87FB5321488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R$ 6.847,20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182732</xdr:colOff>
      <xdr:row>18</xdr:row>
      <xdr:rowOff>47621</xdr:rowOff>
    </xdr:from>
    <xdr:to>
      <xdr:col>12</xdr:col>
      <xdr:colOff>519528</xdr:colOff>
      <xdr:row>19</xdr:row>
      <xdr:rowOff>65614</xdr:rowOff>
    </xdr:to>
    <xdr:sp macro="" textlink="$C$12">
      <xdr:nvSpPr>
        <xdr:cNvPr id="25" name="Retângulo Arredondad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324100" y="3817516"/>
          <a:ext cx="2783217" cy="21851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01CB10-DF42-4189-AE04-41933F42A38F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19%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172705</xdr:colOff>
      <xdr:row>26</xdr:row>
      <xdr:rowOff>54081</xdr:rowOff>
    </xdr:from>
    <xdr:to>
      <xdr:col>12</xdr:col>
      <xdr:colOff>509501</xdr:colOff>
      <xdr:row>27</xdr:row>
      <xdr:rowOff>189996</xdr:rowOff>
    </xdr:to>
    <xdr:sp macro="" textlink="$C$23">
      <xdr:nvSpPr>
        <xdr:cNvPr id="26" name="Retângulo Arredondad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314073" y="5528449"/>
          <a:ext cx="2783217" cy="33644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EBD57A-8884-4F1F-AD3B-723C82E818F7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R$ 8.453,33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139369</xdr:colOff>
      <xdr:row>15</xdr:row>
      <xdr:rowOff>166883</xdr:rowOff>
    </xdr:from>
    <xdr:to>
      <xdr:col>8</xdr:col>
      <xdr:colOff>144206</xdr:colOff>
      <xdr:row>16</xdr:row>
      <xdr:rowOff>174903</xdr:rowOff>
    </xdr:to>
    <xdr:sp macro="" textlink="">
      <xdr:nvSpPr>
        <xdr:cNvPr id="27" name="Retângulo Arredondad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834316" y="3305120"/>
          <a:ext cx="2451258" cy="23862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COM ICMS</a:t>
          </a:r>
        </a:p>
      </xdr:txBody>
    </xdr:sp>
    <xdr:clientData/>
  </xdr:twoCellAnchor>
  <xdr:twoCellAnchor editAs="absolute">
    <xdr:from>
      <xdr:col>8</xdr:col>
      <xdr:colOff>167944</xdr:colOff>
      <xdr:row>19</xdr:row>
      <xdr:rowOff>105103</xdr:rowOff>
    </xdr:from>
    <xdr:to>
      <xdr:col>12</xdr:col>
      <xdr:colOff>499176</xdr:colOff>
      <xdr:row>20</xdr:row>
      <xdr:rowOff>114629</xdr:rowOff>
    </xdr:to>
    <xdr:sp macro="" textlink="$C$17">
      <xdr:nvSpPr>
        <xdr:cNvPr id="28" name="Retângulo Arredondad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309312" y="4075524"/>
          <a:ext cx="2777653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ACB87C-2EBD-42E4-8317-F7754D0250AA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167944</xdr:colOff>
      <xdr:row>20</xdr:row>
      <xdr:rowOff>144262</xdr:rowOff>
    </xdr:from>
    <xdr:to>
      <xdr:col>12</xdr:col>
      <xdr:colOff>499176</xdr:colOff>
      <xdr:row>21</xdr:row>
      <xdr:rowOff>153787</xdr:rowOff>
    </xdr:to>
    <xdr:sp macro="" textlink="$C$18">
      <xdr:nvSpPr>
        <xdr:cNvPr id="29" name="Retângulo Arredondad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309312" y="4315209"/>
          <a:ext cx="2777653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320E215-82D6-4DE9-8A8B-D37D690DCE4F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167944</xdr:colOff>
      <xdr:row>21</xdr:row>
      <xdr:rowOff>182362</xdr:rowOff>
    </xdr:from>
    <xdr:to>
      <xdr:col>12</xdr:col>
      <xdr:colOff>499176</xdr:colOff>
      <xdr:row>22</xdr:row>
      <xdr:rowOff>190215</xdr:rowOff>
    </xdr:to>
    <xdr:sp macro="" textlink="$C$19">
      <xdr:nvSpPr>
        <xdr:cNvPr id="30" name="Retângulo Arredondad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309312" y="4553836"/>
          <a:ext cx="2777653" cy="20837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2CDD83-22F3-4927-812C-8C427C76DD00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158419</xdr:colOff>
      <xdr:row>22</xdr:row>
      <xdr:rowOff>228315</xdr:rowOff>
    </xdr:from>
    <xdr:to>
      <xdr:col>12</xdr:col>
      <xdr:colOff>489651</xdr:colOff>
      <xdr:row>23</xdr:row>
      <xdr:rowOff>137578</xdr:rowOff>
    </xdr:to>
    <xdr:sp macro="" textlink="$C$20">
      <xdr:nvSpPr>
        <xdr:cNvPr id="31" name="Retângulo Arredondado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299787" y="4800315"/>
          <a:ext cx="2777653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E1E6E6-3A7D-4006-8399-E033EF6D9DBA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158419</xdr:colOff>
      <xdr:row>23</xdr:row>
      <xdr:rowOff>166153</xdr:rowOff>
    </xdr:from>
    <xdr:to>
      <xdr:col>12</xdr:col>
      <xdr:colOff>489651</xdr:colOff>
      <xdr:row>24</xdr:row>
      <xdr:rowOff>175678</xdr:rowOff>
    </xdr:to>
    <xdr:sp macro="" textlink="$C$21">
      <xdr:nvSpPr>
        <xdr:cNvPr id="32" name="Retângulo Arredondado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299787" y="5038942"/>
          <a:ext cx="2777653" cy="2100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34217A6-1C27-428A-9F62-2ED5A478B750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177469</xdr:colOff>
      <xdr:row>15</xdr:row>
      <xdr:rowOff>167384</xdr:rowOff>
    </xdr:from>
    <xdr:to>
      <xdr:col>12</xdr:col>
      <xdr:colOff>508701</xdr:colOff>
      <xdr:row>16</xdr:row>
      <xdr:rowOff>175404</xdr:rowOff>
    </xdr:to>
    <xdr:sp macro="" textlink="$C$14">
      <xdr:nvSpPr>
        <xdr:cNvPr id="37" name="Retângulo Arredondado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318837" y="3305621"/>
          <a:ext cx="2777653" cy="23862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A51031-6DFC-4CAB-86FA-C096EF17A356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R$ 8.453,33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139369</xdr:colOff>
      <xdr:row>14</xdr:row>
      <xdr:rowOff>101321</xdr:rowOff>
    </xdr:from>
    <xdr:to>
      <xdr:col>8</xdr:col>
      <xdr:colOff>144206</xdr:colOff>
      <xdr:row>15</xdr:row>
      <xdr:rowOff>146718</xdr:rowOff>
    </xdr:to>
    <xdr:sp macro="" textlink="">
      <xdr:nvSpPr>
        <xdr:cNvPr id="38" name="Retângulo Arredondado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5834316" y="3039032"/>
          <a:ext cx="2451258" cy="24592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AD VALOREM</a:t>
          </a:r>
        </a:p>
      </xdr:txBody>
    </xdr:sp>
    <xdr:clientData/>
  </xdr:twoCellAnchor>
  <xdr:twoCellAnchor editAs="absolute">
    <xdr:from>
      <xdr:col>8</xdr:col>
      <xdr:colOff>177469</xdr:colOff>
      <xdr:row>14</xdr:row>
      <xdr:rowOff>101822</xdr:rowOff>
    </xdr:from>
    <xdr:to>
      <xdr:col>12</xdr:col>
      <xdr:colOff>508701</xdr:colOff>
      <xdr:row>15</xdr:row>
      <xdr:rowOff>149448</xdr:rowOff>
    </xdr:to>
    <xdr:sp macro="" textlink="$C$15">
      <xdr:nvSpPr>
        <xdr:cNvPr id="39" name="Retângulo Arredondado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318837" y="3039533"/>
          <a:ext cx="2777653" cy="24815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848851-7D41-4A71-BAB4-6D7503903F5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136615</xdr:colOff>
      <xdr:row>10</xdr:row>
      <xdr:rowOff>96868</xdr:rowOff>
    </xdr:from>
    <xdr:to>
      <xdr:col>8</xdr:col>
      <xdr:colOff>146215</xdr:colOff>
      <xdr:row>11</xdr:row>
      <xdr:rowOff>144492</xdr:rowOff>
    </xdr:to>
    <xdr:sp macro="" textlink="">
      <xdr:nvSpPr>
        <xdr:cNvPr id="40" name="Retângulo Arredondado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5831562" y="2232473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VALOR DA CARGA</a:t>
          </a:r>
        </a:p>
      </xdr:txBody>
    </xdr:sp>
    <xdr:clientData/>
  </xdr:twoCellAnchor>
  <xdr:twoCellAnchor editAs="absolute">
    <xdr:from>
      <xdr:col>8</xdr:col>
      <xdr:colOff>184240</xdr:colOff>
      <xdr:row>10</xdr:row>
      <xdr:rowOff>106393</xdr:rowOff>
    </xdr:from>
    <xdr:to>
      <xdr:col>12</xdr:col>
      <xdr:colOff>523378</xdr:colOff>
      <xdr:row>11</xdr:row>
      <xdr:rowOff>154017</xdr:rowOff>
    </xdr:to>
    <xdr:sp macro="" textlink="$C$8">
      <xdr:nvSpPr>
        <xdr:cNvPr id="41" name="Retângulo Arredondado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325608" y="2241998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81BED3-ED46-4327-A45D-5E7E9E722D3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127591</xdr:colOff>
      <xdr:row>11</xdr:row>
      <xdr:rowOff>182591</xdr:rowOff>
    </xdr:from>
    <xdr:to>
      <xdr:col>8</xdr:col>
      <xdr:colOff>137191</xdr:colOff>
      <xdr:row>13</xdr:row>
      <xdr:rowOff>29690</xdr:rowOff>
    </xdr:to>
    <xdr:sp macro="" textlink="">
      <xdr:nvSpPr>
        <xdr:cNvPr id="42" name="Retângulo Arredondado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5822538" y="2518723"/>
          <a:ext cx="2456021" cy="2481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PESO DA CARGA</a:t>
          </a:r>
        </a:p>
      </xdr:txBody>
    </xdr:sp>
    <xdr:clientData/>
  </xdr:twoCellAnchor>
  <xdr:twoCellAnchor editAs="absolute">
    <xdr:from>
      <xdr:col>8</xdr:col>
      <xdr:colOff>175216</xdr:colOff>
      <xdr:row>11</xdr:row>
      <xdr:rowOff>182090</xdr:rowOff>
    </xdr:from>
    <xdr:to>
      <xdr:col>12</xdr:col>
      <xdr:colOff>514354</xdr:colOff>
      <xdr:row>13</xdr:row>
      <xdr:rowOff>29189</xdr:rowOff>
    </xdr:to>
    <xdr:sp macro="" textlink="$C$9">
      <xdr:nvSpPr>
        <xdr:cNvPr id="43" name="Retângulo Arredondado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316584" y="2518222"/>
          <a:ext cx="2785559" cy="2481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7B29515-7FAC-48BD-B5D0-0C7C7434D98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1 TON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250659</xdr:colOff>
      <xdr:row>1</xdr:row>
      <xdr:rowOff>45118</xdr:rowOff>
    </xdr:from>
    <xdr:to>
      <xdr:col>6</xdr:col>
      <xdr:colOff>2991</xdr:colOff>
      <xdr:row>3</xdr:row>
      <xdr:rowOff>185487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5606" y="235618"/>
          <a:ext cx="975543" cy="621632"/>
        </a:xfrm>
        <a:prstGeom prst="rect">
          <a:avLst/>
        </a:prstGeom>
      </xdr:spPr>
    </xdr:pic>
    <xdr:clientData/>
  </xdr:twoCellAnchor>
  <xdr:twoCellAnchor editAs="absolute">
    <xdr:from>
      <xdr:col>6</xdr:col>
      <xdr:colOff>76197</xdr:colOff>
      <xdr:row>1</xdr:row>
      <xdr:rowOff>50132</xdr:rowOff>
    </xdr:from>
    <xdr:to>
      <xdr:col>12</xdr:col>
      <xdr:colOff>421105</xdr:colOff>
      <xdr:row>2</xdr:row>
      <xdr:rowOff>21395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/>
      </xdr:nvSpPr>
      <xdr:spPr>
        <a:xfrm>
          <a:off x="6994355" y="240632"/>
          <a:ext cx="4014539" cy="252000"/>
        </a:xfrm>
        <a:prstGeom prst="round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Bahnschrift" panose="020B0502040204020203" pitchFamily="34" charset="0"/>
            </a:rPr>
            <a:t>Cliente:</a:t>
          </a:r>
        </a:p>
      </xdr:txBody>
    </xdr:sp>
    <xdr:clientData/>
  </xdr:twoCellAnchor>
  <xdr:twoCellAnchor editAs="absolute">
    <xdr:from>
      <xdr:col>6</xdr:col>
      <xdr:colOff>76197</xdr:colOff>
      <xdr:row>2</xdr:row>
      <xdr:rowOff>92241</xdr:rowOff>
    </xdr:from>
    <xdr:to>
      <xdr:col>12</xdr:col>
      <xdr:colOff>421105</xdr:colOff>
      <xdr:row>3</xdr:row>
      <xdr:rowOff>143715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6994355" y="563478"/>
          <a:ext cx="4014539" cy="25200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0">
              <a:solidFill>
                <a:schemeClr val="tx2">
                  <a:lumMod val="50000"/>
                </a:schemeClr>
              </a:solidFill>
              <a:latin typeface="Bahnschrift" panose="020B0502040204020203" pitchFamily="34" charset="0"/>
            </a:rPr>
            <a:t>Responsável:</a:t>
          </a:r>
        </a:p>
      </xdr:txBody>
    </xdr:sp>
    <xdr:clientData/>
  </xdr:twoCellAnchor>
  <xdr:twoCellAnchor editAs="absolute">
    <xdr:from>
      <xdr:col>4</xdr:col>
      <xdr:colOff>0</xdr:colOff>
      <xdr:row>0</xdr:row>
      <xdr:rowOff>170446</xdr:rowOff>
    </xdr:from>
    <xdr:to>
      <xdr:col>13</xdr:col>
      <xdr:colOff>10025</xdr:colOff>
      <xdr:row>28</xdr:row>
      <xdr:rowOff>60159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5694947" y="170446"/>
          <a:ext cx="5514473" cy="5765134"/>
        </a:xfrm>
        <a:prstGeom prst="rect">
          <a:avLst/>
        </a:prstGeom>
        <a:noFill/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39607</xdr:colOff>
      <xdr:row>4</xdr:row>
      <xdr:rowOff>54142</xdr:rowOff>
    </xdr:from>
    <xdr:to>
      <xdr:col>12</xdr:col>
      <xdr:colOff>438765</xdr:colOff>
      <xdr:row>5</xdr:row>
      <xdr:rowOff>88788</xdr:rowOff>
    </xdr:to>
    <xdr:sp macro="" textlink="">
      <xdr:nvSpPr>
        <xdr:cNvPr id="2" name="Retângulo Arredondado 2">
          <a:extLst>
            <a:ext uri="{FF2B5EF4-FFF2-40B4-BE49-F238E27FC236}">
              <a16:creationId xmlns:a16="http://schemas.microsoft.com/office/drawing/2014/main" id="{C8FE49A2-A928-44E9-B739-B2380EE4B3C9}"/>
            </a:ext>
          </a:extLst>
        </xdr:cNvPr>
        <xdr:cNvSpPr/>
      </xdr:nvSpPr>
      <xdr:spPr>
        <a:xfrm>
          <a:off x="5899387" y="907582"/>
          <a:ext cx="5397878" cy="232766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CÁLCULO DE FRETE</a:t>
          </a:r>
          <a:endParaRPr lang="pt-BR" sz="1400" b="1"/>
        </a:p>
      </xdr:txBody>
    </xdr:sp>
    <xdr:clientData/>
  </xdr:twoCellAnchor>
  <xdr:twoCellAnchor editAs="absolute">
    <xdr:from>
      <xdr:col>4</xdr:col>
      <xdr:colOff>44369</xdr:colOff>
      <xdr:row>5</xdr:row>
      <xdr:rowOff>117865</xdr:rowOff>
    </xdr:from>
    <xdr:to>
      <xdr:col>12</xdr:col>
      <xdr:colOff>443527</xdr:colOff>
      <xdr:row>6</xdr:row>
      <xdr:rowOff>135633</xdr:rowOff>
    </xdr:to>
    <xdr:sp macro="" textlink="">
      <xdr:nvSpPr>
        <xdr:cNvPr id="3" name="Retângulo Arredondado 4">
          <a:extLst>
            <a:ext uri="{FF2B5EF4-FFF2-40B4-BE49-F238E27FC236}">
              <a16:creationId xmlns:a16="http://schemas.microsoft.com/office/drawing/2014/main" id="{2464A881-2437-41F4-B61B-8BC0BB0CF678}"/>
            </a:ext>
          </a:extLst>
        </xdr:cNvPr>
        <xdr:cNvSpPr/>
      </xdr:nvSpPr>
      <xdr:spPr>
        <a:xfrm>
          <a:off x="5904149" y="1169425"/>
          <a:ext cx="5397878" cy="215888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PARAMETRIZAÇÃO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44369</xdr:colOff>
      <xdr:row>6</xdr:row>
      <xdr:rowOff>154683</xdr:rowOff>
    </xdr:from>
    <xdr:to>
      <xdr:col>8</xdr:col>
      <xdr:colOff>53969</xdr:colOff>
      <xdr:row>7</xdr:row>
      <xdr:rowOff>210664</xdr:rowOff>
    </xdr:to>
    <xdr:sp macro="" textlink="">
      <xdr:nvSpPr>
        <xdr:cNvPr id="4" name="Retângulo Arredondado 5">
          <a:extLst>
            <a:ext uri="{FF2B5EF4-FFF2-40B4-BE49-F238E27FC236}">
              <a16:creationId xmlns:a16="http://schemas.microsoft.com/office/drawing/2014/main" id="{8BF1320F-F6AC-4BE7-9B15-5735D81B1346}"/>
            </a:ext>
          </a:extLst>
        </xdr:cNvPr>
        <xdr:cNvSpPr/>
      </xdr:nvSpPr>
      <xdr:spPr>
        <a:xfrm>
          <a:off x="5904149" y="1404363"/>
          <a:ext cx="2508960" cy="25410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ROTA</a:t>
          </a:r>
        </a:p>
      </xdr:txBody>
    </xdr:sp>
    <xdr:clientData/>
  </xdr:twoCellAnchor>
  <xdr:twoCellAnchor editAs="absolute">
    <xdr:from>
      <xdr:col>4</xdr:col>
      <xdr:colOff>44369</xdr:colOff>
      <xdr:row>8</xdr:row>
      <xdr:rowOff>8634</xdr:rowOff>
    </xdr:from>
    <xdr:to>
      <xdr:col>8</xdr:col>
      <xdr:colOff>53969</xdr:colOff>
      <xdr:row>9</xdr:row>
      <xdr:rowOff>56258</xdr:rowOff>
    </xdr:to>
    <xdr:sp macro="" textlink="">
      <xdr:nvSpPr>
        <xdr:cNvPr id="5" name="Retângulo Arredondado 6">
          <a:extLst>
            <a:ext uri="{FF2B5EF4-FFF2-40B4-BE49-F238E27FC236}">
              <a16:creationId xmlns:a16="http://schemas.microsoft.com/office/drawing/2014/main" id="{42037A4E-9836-4601-91A7-44339FFBA5B2}"/>
            </a:ext>
          </a:extLst>
        </xdr:cNvPr>
        <xdr:cNvSpPr/>
      </xdr:nvSpPr>
      <xdr:spPr>
        <a:xfrm>
          <a:off x="5904149" y="1685034"/>
          <a:ext cx="2508960" cy="245744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TIPO DE CARGA</a:t>
          </a:r>
        </a:p>
      </xdr:txBody>
    </xdr:sp>
    <xdr:clientData/>
  </xdr:twoCellAnchor>
  <xdr:twoCellAnchor editAs="absolute">
    <xdr:from>
      <xdr:col>4</xdr:col>
      <xdr:colOff>44369</xdr:colOff>
      <xdr:row>9</xdr:row>
      <xdr:rowOff>94859</xdr:rowOff>
    </xdr:from>
    <xdr:to>
      <xdr:col>8</xdr:col>
      <xdr:colOff>53969</xdr:colOff>
      <xdr:row>10</xdr:row>
      <xdr:rowOff>142484</xdr:rowOff>
    </xdr:to>
    <xdr:sp macro="" textlink="">
      <xdr:nvSpPr>
        <xdr:cNvPr id="6" name="Retângulo Arredondado 7">
          <a:extLst>
            <a:ext uri="{FF2B5EF4-FFF2-40B4-BE49-F238E27FC236}">
              <a16:creationId xmlns:a16="http://schemas.microsoft.com/office/drawing/2014/main" id="{D866C64E-F850-4164-84E8-B9C10D8E91B6}"/>
            </a:ext>
          </a:extLst>
        </xdr:cNvPr>
        <xdr:cNvSpPr/>
      </xdr:nvSpPr>
      <xdr:spPr>
        <a:xfrm>
          <a:off x="5904149" y="1969379"/>
          <a:ext cx="2508960" cy="245745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DESCONTO</a:t>
          </a:r>
        </a:p>
      </xdr:txBody>
    </xdr:sp>
    <xdr:clientData/>
  </xdr:twoCellAnchor>
  <xdr:twoCellAnchor editAs="absolute">
    <xdr:from>
      <xdr:col>4</xdr:col>
      <xdr:colOff>30082</xdr:colOff>
      <xdr:row>12</xdr:row>
      <xdr:rowOff>48570</xdr:rowOff>
    </xdr:from>
    <xdr:to>
      <xdr:col>12</xdr:col>
      <xdr:colOff>429240</xdr:colOff>
      <xdr:row>13</xdr:row>
      <xdr:rowOff>28015</xdr:rowOff>
    </xdr:to>
    <xdr:sp macro="" textlink="">
      <xdr:nvSpPr>
        <xdr:cNvPr id="7" name="Retângulo Arredondado 8">
          <a:extLst>
            <a:ext uri="{FF2B5EF4-FFF2-40B4-BE49-F238E27FC236}">
              <a16:creationId xmlns:a16="http://schemas.microsoft.com/office/drawing/2014/main" id="{833798A3-9D7B-4492-8685-ED8071502091}"/>
            </a:ext>
          </a:extLst>
        </xdr:cNvPr>
        <xdr:cNvSpPr/>
      </xdr:nvSpPr>
      <xdr:spPr>
        <a:xfrm>
          <a:off x="5889862" y="2517450"/>
          <a:ext cx="5397878" cy="20804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VALORES DO FRETE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39607</xdr:colOff>
      <xdr:row>19</xdr:row>
      <xdr:rowOff>144705</xdr:rowOff>
    </xdr:from>
    <xdr:to>
      <xdr:col>6</xdr:col>
      <xdr:colOff>40396</xdr:colOff>
      <xdr:row>20</xdr:row>
      <xdr:rowOff>154231</xdr:rowOff>
    </xdr:to>
    <xdr:sp macro="" textlink="">
      <xdr:nvSpPr>
        <xdr:cNvPr id="8" name="Retângulo Arredondado 9">
          <a:extLst>
            <a:ext uri="{FF2B5EF4-FFF2-40B4-BE49-F238E27FC236}">
              <a16:creationId xmlns:a16="http://schemas.microsoft.com/office/drawing/2014/main" id="{2917D812-4DAC-4255-94E4-D9572483CDB9}"/>
            </a:ext>
          </a:extLst>
        </xdr:cNvPr>
        <xdr:cNvSpPr/>
      </xdr:nvSpPr>
      <xdr:spPr>
        <a:xfrm>
          <a:off x="5899387" y="4061385"/>
          <a:ext cx="1250469" cy="207646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REMETENTE</a:t>
          </a:r>
        </a:p>
      </xdr:txBody>
    </xdr:sp>
    <xdr:clientData/>
  </xdr:twoCellAnchor>
  <xdr:twoCellAnchor editAs="absolute">
    <xdr:from>
      <xdr:col>4</xdr:col>
      <xdr:colOff>39607</xdr:colOff>
      <xdr:row>20</xdr:row>
      <xdr:rowOff>183864</xdr:rowOff>
    </xdr:from>
    <xdr:to>
      <xdr:col>6</xdr:col>
      <xdr:colOff>40396</xdr:colOff>
      <xdr:row>21</xdr:row>
      <xdr:rowOff>193390</xdr:rowOff>
    </xdr:to>
    <xdr:sp macro="" textlink="">
      <xdr:nvSpPr>
        <xdr:cNvPr id="9" name="Retângulo Arredondado 10">
          <a:extLst>
            <a:ext uri="{FF2B5EF4-FFF2-40B4-BE49-F238E27FC236}">
              <a16:creationId xmlns:a16="http://schemas.microsoft.com/office/drawing/2014/main" id="{985FB36A-CB99-45F7-8654-1C3F3A51F6D5}"/>
            </a:ext>
          </a:extLst>
        </xdr:cNvPr>
        <xdr:cNvSpPr/>
      </xdr:nvSpPr>
      <xdr:spPr>
        <a:xfrm>
          <a:off x="5899387" y="4298664"/>
          <a:ext cx="1250469" cy="207646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PESAGEM</a:t>
          </a:r>
        </a:p>
      </xdr:txBody>
    </xdr:sp>
    <xdr:clientData/>
  </xdr:twoCellAnchor>
  <xdr:twoCellAnchor editAs="absolute">
    <xdr:from>
      <xdr:col>4</xdr:col>
      <xdr:colOff>39607</xdr:colOff>
      <xdr:row>22</xdr:row>
      <xdr:rowOff>21438</xdr:rowOff>
    </xdr:from>
    <xdr:to>
      <xdr:col>6</xdr:col>
      <xdr:colOff>40396</xdr:colOff>
      <xdr:row>23</xdr:row>
      <xdr:rowOff>29291</xdr:rowOff>
    </xdr:to>
    <xdr:sp macro="" textlink="">
      <xdr:nvSpPr>
        <xdr:cNvPr id="10" name="Retângulo Arredondado 11">
          <a:extLst>
            <a:ext uri="{FF2B5EF4-FFF2-40B4-BE49-F238E27FC236}">
              <a16:creationId xmlns:a16="http://schemas.microsoft.com/office/drawing/2014/main" id="{AEBA6665-AED8-407F-925A-298A22D8F14A}"/>
            </a:ext>
          </a:extLst>
        </xdr:cNvPr>
        <xdr:cNvSpPr/>
      </xdr:nvSpPr>
      <xdr:spPr>
        <a:xfrm>
          <a:off x="5899387" y="4532478"/>
          <a:ext cx="1250469" cy="205973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DESTINATÁRIO</a:t>
          </a:r>
        </a:p>
      </xdr:txBody>
    </xdr:sp>
    <xdr:clientData/>
  </xdr:twoCellAnchor>
  <xdr:twoCellAnchor editAs="absolute">
    <xdr:from>
      <xdr:col>8</xdr:col>
      <xdr:colOff>91994</xdr:colOff>
      <xdr:row>6</xdr:row>
      <xdr:rowOff>164208</xdr:rowOff>
    </xdr:from>
    <xdr:to>
      <xdr:col>12</xdr:col>
      <xdr:colOff>431132</xdr:colOff>
      <xdr:row>7</xdr:row>
      <xdr:rowOff>220189</xdr:rowOff>
    </xdr:to>
    <xdr:sp macro="" textlink="$C$4">
      <xdr:nvSpPr>
        <xdr:cNvPr id="11" name="Retângulo Arredondado 12">
          <a:extLst>
            <a:ext uri="{FF2B5EF4-FFF2-40B4-BE49-F238E27FC236}">
              <a16:creationId xmlns:a16="http://schemas.microsoft.com/office/drawing/2014/main" id="{9A87E4F8-0D67-4197-B2EC-F125251ABCE0}"/>
            </a:ext>
          </a:extLst>
        </xdr:cNvPr>
        <xdr:cNvSpPr/>
      </xdr:nvSpPr>
      <xdr:spPr>
        <a:xfrm>
          <a:off x="8451134" y="1413888"/>
          <a:ext cx="2838498" cy="25410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763D62-AB32-41A2-8554-21024FAAA7BD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BLM - MCP - BLM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91994</xdr:colOff>
      <xdr:row>8</xdr:row>
      <xdr:rowOff>18159</xdr:rowOff>
    </xdr:from>
    <xdr:to>
      <xdr:col>12</xdr:col>
      <xdr:colOff>431132</xdr:colOff>
      <xdr:row>9</xdr:row>
      <xdr:rowOff>65783</xdr:rowOff>
    </xdr:to>
    <xdr:sp macro="" textlink="$C$5">
      <xdr:nvSpPr>
        <xdr:cNvPr id="12" name="Retângulo Arredondado 13">
          <a:extLst>
            <a:ext uri="{FF2B5EF4-FFF2-40B4-BE49-F238E27FC236}">
              <a16:creationId xmlns:a16="http://schemas.microsoft.com/office/drawing/2014/main" id="{DA2DECCE-67CB-410C-BE7E-F73B35149013}"/>
            </a:ext>
          </a:extLst>
        </xdr:cNvPr>
        <xdr:cNvSpPr/>
      </xdr:nvSpPr>
      <xdr:spPr>
        <a:xfrm>
          <a:off x="8451134" y="1694559"/>
          <a:ext cx="2838498" cy="24574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D49B42-D92E-4A25-A8A3-A50119900280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CARRETA LS (ATÉ 30 TON) - IDA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91994</xdr:colOff>
      <xdr:row>9</xdr:row>
      <xdr:rowOff>104384</xdr:rowOff>
    </xdr:from>
    <xdr:to>
      <xdr:col>12</xdr:col>
      <xdr:colOff>431132</xdr:colOff>
      <xdr:row>10</xdr:row>
      <xdr:rowOff>152009</xdr:rowOff>
    </xdr:to>
    <xdr:sp macro="" textlink="$C$7">
      <xdr:nvSpPr>
        <xdr:cNvPr id="13" name="Retângulo Arredondado 14">
          <a:extLst>
            <a:ext uri="{FF2B5EF4-FFF2-40B4-BE49-F238E27FC236}">
              <a16:creationId xmlns:a16="http://schemas.microsoft.com/office/drawing/2014/main" id="{9B6D7E57-E53D-44C3-95A2-58F67CE92ACD}"/>
            </a:ext>
          </a:extLst>
        </xdr:cNvPr>
        <xdr:cNvSpPr/>
      </xdr:nvSpPr>
      <xdr:spPr>
        <a:xfrm>
          <a:off x="8451134" y="1978904"/>
          <a:ext cx="2838498" cy="2457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AB8FAB-9D96-4519-8379-3CF2EEFE31B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0%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30082</xdr:colOff>
      <xdr:row>23</xdr:row>
      <xdr:rowOff>67391</xdr:rowOff>
    </xdr:from>
    <xdr:to>
      <xdr:col>6</xdr:col>
      <xdr:colOff>30871</xdr:colOff>
      <xdr:row>24</xdr:row>
      <xdr:rowOff>76917</xdr:rowOff>
    </xdr:to>
    <xdr:sp macro="" textlink="">
      <xdr:nvSpPr>
        <xdr:cNvPr id="14" name="Retângulo Arredondado 16">
          <a:extLst>
            <a:ext uri="{FF2B5EF4-FFF2-40B4-BE49-F238E27FC236}">
              <a16:creationId xmlns:a16="http://schemas.microsoft.com/office/drawing/2014/main" id="{4C6C36B6-0962-4DF0-8701-5C9AAB6C4C54}"/>
            </a:ext>
          </a:extLst>
        </xdr:cNvPr>
        <xdr:cNvSpPr/>
      </xdr:nvSpPr>
      <xdr:spPr>
        <a:xfrm>
          <a:off x="5889862" y="4776551"/>
          <a:ext cx="1250469" cy="207646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OVAÇÃO</a:t>
          </a:r>
        </a:p>
      </xdr:txBody>
    </xdr:sp>
    <xdr:clientData/>
  </xdr:twoCellAnchor>
  <xdr:twoCellAnchor editAs="absolute">
    <xdr:from>
      <xdr:col>4</xdr:col>
      <xdr:colOff>30082</xdr:colOff>
      <xdr:row>24</xdr:row>
      <xdr:rowOff>105492</xdr:rowOff>
    </xdr:from>
    <xdr:to>
      <xdr:col>6</xdr:col>
      <xdr:colOff>30871</xdr:colOff>
      <xdr:row>25</xdr:row>
      <xdr:rowOff>115017</xdr:rowOff>
    </xdr:to>
    <xdr:sp macro="" textlink="">
      <xdr:nvSpPr>
        <xdr:cNvPr id="15" name="Retângulo Arredondado 17">
          <a:extLst>
            <a:ext uri="{FF2B5EF4-FFF2-40B4-BE49-F238E27FC236}">
              <a16:creationId xmlns:a16="http://schemas.microsoft.com/office/drawing/2014/main" id="{0AE38A11-74F4-47D6-9D76-4FB667795CE9}"/>
            </a:ext>
          </a:extLst>
        </xdr:cNvPr>
        <xdr:cNvSpPr/>
      </xdr:nvSpPr>
      <xdr:spPr>
        <a:xfrm>
          <a:off x="5889862" y="5012772"/>
          <a:ext cx="1250469" cy="207645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COLETA</a:t>
          </a:r>
        </a:p>
      </xdr:txBody>
    </xdr:sp>
    <xdr:clientData/>
  </xdr:twoCellAnchor>
  <xdr:twoCellAnchor editAs="absolute">
    <xdr:from>
      <xdr:col>8</xdr:col>
      <xdr:colOff>70187</xdr:colOff>
      <xdr:row>19</xdr:row>
      <xdr:rowOff>133008</xdr:rowOff>
    </xdr:from>
    <xdr:to>
      <xdr:col>10</xdr:col>
      <xdr:colOff>178976</xdr:colOff>
      <xdr:row>20</xdr:row>
      <xdr:rowOff>142533</xdr:rowOff>
    </xdr:to>
    <xdr:sp macro="" textlink="">
      <xdr:nvSpPr>
        <xdr:cNvPr id="16" name="Retângulo Arredondado 18">
          <a:extLst>
            <a:ext uri="{FF2B5EF4-FFF2-40B4-BE49-F238E27FC236}">
              <a16:creationId xmlns:a16="http://schemas.microsoft.com/office/drawing/2014/main" id="{EEFF34CD-B086-4A80-9D84-6166A7CBFE4B}"/>
            </a:ext>
          </a:extLst>
        </xdr:cNvPr>
        <xdr:cNvSpPr/>
      </xdr:nvSpPr>
      <xdr:spPr>
        <a:xfrm>
          <a:off x="8429327" y="4049688"/>
          <a:ext cx="1358469" cy="207645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ENTREGA</a:t>
          </a:r>
        </a:p>
      </xdr:txBody>
    </xdr:sp>
    <xdr:clientData/>
  </xdr:twoCellAnchor>
  <xdr:twoCellAnchor editAs="absolute">
    <xdr:from>
      <xdr:col>8</xdr:col>
      <xdr:colOff>70187</xdr:colOff>
      <xdr:row>20</xdr:row>
      <xdr:rowOff>172166</xdr:rowOff>
    </xdr:from>
    <xdr:to>
      <xdr:col>10</xdr:col>
      <xdr:colOff>178976</xdr:colOff>
      <xdr:row>21</xdr:row>
      <xdr:rowOff>181693</xdr:rowOff>
    </xdr:to>
    <xdr:sp macro="" textlink="">
      <xdr:nvSpPr>
        <xdr:cNvPr id="17" name="Retângulo Arredondado 22">
          <a:extLst>
            <a:ext uri="{FF2B5EF4-FFF2-40B4-BE49-F238E27FC236}">
              <a16:creationId xmlns:a16="http://schemas.microsoft.com/office/drawing/2014/main" id="{4CF47D14-69B9-40CC-BD3D-3DB6864C88E8}"/>
            </a:ext>
          </a:extLst>
        </xdr:cNvPr>
        <xdr:cNvSpPr/>
      </xdr:nvSpPr>
      <xdr:spPr>
        <a:xfrm>
          <a:off x="8429327" y="4286966"/>
          <a:ext cx="1358469" cy="207647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EXPURGO</a:t>
          </a:r>
        </a:p>
      </xdr:txBody>
    </xdr:sp>
    <xdr:clientData/>
  </xdr:twoCellAnchor>
  <xdr:twoCellAnchor editAs="absolute">
    <xdr:from>
      <xdr:col>8</xdr:col>
      <xdr:colOff>70187</xdr:colOff>
      <xdr:row>22</xdr:row>
      <xdr:rowOff>9741</xdr:rowOff>
    </xdr:from>
    <xdr:to>
      <xdr:col>10</xdr:col>
      <xdr:colOff>178976</xdr:colOff>
      <xdr:row>23</xdr:row>
      <xdr:rowOff>19265</xdr:rowOff>
    </xdr:to>
    <xdr:sp macro="" textlink="">
      <xdr:nvSpPr>
        <xdr:cNvPr id="18" name="Retângulo Arredondado 23">
          <a:extLst>
            <a:ext uri="{FF2B5EF4-FFF2-40B4-BE49-F238E27FC236}">
              <a16:creationId xmlns:a16="http://schemas.microsoft.com/office/drawing/2014/main" id="{812B9936-F930-4543-BBA0-7AC0684AABD4}"/>
            </a:ext>
          </a:extLst>
        </xdr:cNvPr>
        <xdr:cNvSpPr/>
      </xdr:nvSpPr>
      <xdr:spPr>
        <a:xfrm>
          <a:off x="8429327" y="4520781"/>
          <a:ext cx="1358469" cy="207644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ENLONAMENTO</a:t>
          </a:r>
        </a:p>
      </xdr:txBody>
    </xdr:sp>
    <xdr:clientData/>
  </xdr:twoCellAnchor>
  <xdr:twoCellAnchor editAs="absolute">
    <xdr:from>
      <xdr:col>8</xdr:col>
      <xdr:colOff>70187</xdr:colOff>
      <xdr:row>23</xdr:row>
      <xdr:rowOff>57365</xdr:rowOff>
    </xdr:from>
    <xdr:to>
      <xdr:col>10</xdr:col>
      <xdr:colOff>178976</xdr:colOff>
      <xdr:row>24</xdr:row>
      <xdr:rowOff>56307</xdr:rowOff>
    </xdr:to>
    <xdr:sp macro="" textlink="">
      <xdr:nvSpPr>
        <xdr:cNvPr id="19" name="Retângulo Arredondado 24">
          <a:extLst>
            <a:ext uri="{FF2B5EF4-FFF2-40B4-BE49-F238E27FC236}">
              <a16:creationId xmlns:a16="http://schemas.microsoft.com/office/drawing/2014/main" id="{5DF36096-DBA1-444F-8796-299E4D978797}"/>
            </a:ext>
          </a:extLst>
        </xdr:cNvPr>
        <xdr:cNvSpPr/>
      </xdr:nvSpPr>
      <xdr:spPr>
        <a:xfrm>
          <a:off x="8429327" y="4766525"/>
          <a:ext cx="1358469" cy="19706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</a:t>
          </a:r>
        </a:p>
      </xdr:txBody>
    </xdr:sp>
    <xdr:clientData/>
  </xdr:twoCellAnchor>
  <xdr:twoCellAnchor editAs="absolute">
    <xdr:from>
      <xdr:col>4</xdr:col>
      <xdr:colOff>34844</xdr:colOff>
      <xdr:row>25</xdr:row>
      <xdr:rowOff>145045</xdr:rowOff>
    </xdr:from>
    <xdr:to>
      <xdr:col>12</xdr:col>
      <xdr:colOff>434002</xdr:colOff>
      <xdr:row>26</xdr:row>
      <xdr:rowOff>143987</xdr:rowOff>
    </xdr:to>
    <xdr:sp macro="" textlink="">
      <xdr:nvSpPr>
        <xdr:cNvPr id="20" name="Retângulo Arredondado 25">
          <a:extLst>
            <a:ext uri="{FF2B5EF4-FFF2-40B4-BE49-F238E27FC236}">
              <a16:creationId xmlns:a16="http://schemas.microsoft.com/office/drawing/2014/main" id="{1C113902-3615-4342-88EE-554FDA9AB6A3}"/>
            </a:ext>
          </a:extLst>
        </xdr:cNvPr>
        <xdr:cNvSpPr/>
      </xdr:nvSpPr>
      <xdr:spPr>
        <a:xfrm>
          <a:off x="5894624" y="5250445"/>
          <a:ext cx="5397878" cy="197062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TOTAL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44871</xdr:colOff>
      <xdr:row>15</xdr:row>
      <xdr:rowOff>182587</xdr:rowOff>
    </xdr:from>
    <xdr:to>
      <xdr:col>8</xdr:col>
      <xdr:colOff>54471</xdr:colOff>
      <xdr:row>16</xdr:row>
      <xdr:rowOff>169942</xdr:rowOff>
    </xdr:to>
    <xdr:sp macro="" textlink="">
      <xdr:nvSpPr>
        <xdr:cNvPr id="21" name="Retângulo Arredondado 26">
          <a:extLst>
            <a:ext uri="{FF2B5EF4-FFF2-40B4-BE49-F238E27FC236}">
              <a16:creationId xmlns:a16="http://schemas.microsoft.com/office/drawing/2014/main" id="{5E83D31A-FA69-48FA-A324-8200C8BCCBD3}"/>
            </a:ext>
          </a:extLst>
        </xdr:cNvPr>
        <xdr:cNvSpPr/>
      </xdr:nvSpPr>
      <xdr:spPr>
        <a:xfrm>
          <a:off x="5904651" y="3276307"/>
          <a:ext cx="2508960" cy="215955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SEM ICMS</a:t>
          </a:r>
        </a:p>
      </xdr:txBody>
    </xdr:sp>
    <xdr:clientData/>
  </xdr:twoCellAnchor>
  <xdr:twoCellAnchor editAs="absolute">
    <xdr:from>
      <xdr:col>4</xdr:col>
      <xdr:colOff>44871</xdr:colOff>
      <xdr:row>16</xdr:row>
      <xdr:rowOff>198517</xdr:rowOff>
    </xdr:from>
    <xdr:to>
      <xdr:col>8</xdr:col>
      <xdr:colOff>54471</xdr:colOff>
      <xdr:row>18</xdr:row>
      <xdr:rowOff>15984</xdr:rowOff>
    </xdr:to>
    <xdr:sp macro="" textlink="">
      <xdr:nvSpPr>
        <xdr:cNvPr id="22" name="Retângulo Arredondado 27">
          <a:extLst>
            <a:ext uri="{FF2B5EF4-FFF2-40B4-BE49-F238E27FC236}">
              <a16:creationId xmlns:a16="http://schemas.microsoft.com/office/drawing/2014/main" id="{59207669-E48A-496F-998E-4EA8638F81F2}"/>
            </a:ext>
          </a:extLst>
        </xdr:cNvPr>
        <xdr:cNvSpPr/>
      </xdr:nvSpPr>
      <xdr:spPr>
        <a:xfrm>
          <a:off x="5904651" y="3520837"/>
          <a:ext cx="2508960" cy="213707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ICMS</a:t>
          </a:r>
        </a:p>
      </xdr:txBody>
    </xdr:sp>
    <xdr:clientData/>
  </xdr:twoCellAnchor>
  <xdr:twoCellAnchor editAs="absolute">
    <xdr:from>
      <xdr:col>4</xdr:col>
      <xdr:colOff>34844</xdr:colOff>
      <xdr:row>26</xdr:row>
      <xdr:rowOff>170948</xdr:rowOff>
    </xdr:from>
    <xdr:to>
      <xdr:col>8</xdr:col>
      <xdr:colOff>44444</xdr:colOff>
      <xdr:row>27</xdr:row>
      <xdr:rowOff>260681</xdr:rowOff>
    </xdr:to>
    <xdr:sp macro="" textlink="">
      <xdr:nvSpPr>
        <xdr:cNvPr id="23" name="Retângulo Arredondado 28">
          <a:extLst>
            <a:ext uri="{FF2B5EF4-FFF2-40B4-BE49-F238E27FC236}">
              <a16:creationId xmlns:a16="http://schemas.microsoft.com/office/drawing/2014/main" id="{ACDEC463-D492-4674-85CF-F6B21B3F428A}"/>
            </a:ext>
          </a:extLst>
        </xdr:cNvPr>
        <xdr:cNvSpPr/>
      </xdr:nvSpPr>
      <xdr:spPr>
        <a:xfrm>
          <a:off x="5894624" y="5474468"/>
          <a:ext cx="2508960" cy="287853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TOTAL FRETE</a:t>
          </a:r>
        </a:p>
      </xdr:txBody>
    </xdr:sp>
    <xdr:clientData/>
  </xdr:twoCellAnchor>
  <xdr:twoCellAnchor editAs="absolute">
    <xdr:from>
      <xdr:col>8</xdr:col>
      <xdr:colOff>92495</xdr:colOff>
      <xdr:row>15</xdr:row>
      <xdr:rowOff>181528</xdr:rowOff>
    </xdr:from>
    <xdr:to>
      <xdr:col>12</xdr:col>
      <xdr:colOff>429291</xdr:colOff>
      <xdr:row>16</xdr:row>
      <xdr:rowOff>169441</xdr:rowOff>
    </xdr:to>
    <xdr:sp macro="" textlink="$C$11">
      <xdr:nvSpPr>
        <xdr:cNvPr id="24" name="Retângulo Arredondado 29">
          <a:extLst>
            <a:ext uri="{FF2B5EF4-FFF2-40B4-BE49-F238E27FC236}">
              <a16:creationId xmlns:a16="http://schemas.microsoft.com/office/drawing/2014/main" id="{D812BE04-9AE4-4A16-957D-B311B9E0855B}"/>
            </a:ext>
          </a:extLst>
        </xdr:cNvPr>
        <xdr:cNvSpPr/>
      </xdr:nvSpPr>
      <xdr:spPr>
        <a:xfrm>
          <a:off x="8451635" y="3275248"/>
          <a:ext cx="2836156" cy="216513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DAC9A0-1852-4A78-9E2C-87FB5321488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R$ 3.791,60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92495</xdr:colOff>
      <xdr:row>16</xdr:row>
      <xdr:rowOff>198016</xdr:rowOff>
    </xdr:from>
    <xdr:to>
      <xdr:col>12</xdr:col>
      <xdr:colOff>429291</xdr:colOff>
      <xdr:row>18</xdr:row>
      <xdr:rowOff>15483</xdr:rowOff>
    </xdr:to>
    <xdr:sp macro="" textlink="$C$10">
      <xdr:nvSpPr>
        <xdr:cNvPr id="25" name="Retângulo Arredondado 30">
          <a:extLst>
            <a:ext uri="{FF2B5EF4-FFF2-40B4-BE49-F238E27FC236}">
              <a16:creationId xmlns:a16="http://schemas.microsoft.com/office/drawing/2014/main" id="{15D2A908-82DD-49A2-8733-3A8C117909A1}"/>
            </a:ext>
          </a:extLst>
        </xdr:cNvPr>
        <xdr:cNvSpPr/>
      </xdr:nvSpPr>
      <xdr:spPr>
        <a:xfrm>
          <a:off x="8451635" y="3520336"/>
          <a:ext cx="2836156" cy="21370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01CB10-DF42-4189-AE04-41933F42A38F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12%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82468</xdr:colOff>
      <xdr:row>26</xdr:row>
      <xdr:rowOff>170447</xdr:rowOff>
    </xdr:from>
    <xdr:to>
      <xdr:col>12</xdr:col>
      <xdr:colOff>419264</xdr:colOff>
      <xdr:row>27</xdr:row>
      <xdr:rowOff>260180</xdr:rowOff>
    </xdr:to>
    <xdr:sp macro="" textlink="$C$28">
      <xdr:nvSpPr>
        <xdr:cNvPr id="26" name="Retângulo Arredondado 31">
          <a:extLst>
            <a:ext uri="{FF2B5EF4-FFF2-40B4-BE49-F238E27FC236}">
              <a16:creationId xmlns:a16="http://schemas.microsoft.com/office/drawing/2014/main" id="{A517A32E-B1F2-46A9-A7C3-4F00C632CAC7}"/>
            </a:ext>
          </a:extLst>
        </xdr:cNvPr>
        <xdr:cNvSpPr/>
      </xdr:nvSpPr>
      <xdr:spPr>
        <a:xfrm>
          <a:off x="8441608" y="5473967"/>
          <a:ext cx="2836156" cy="287853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EBD57A-8884-4F1F-AD3B-723C82E818F7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R$ 4.308,64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49132</xdr:colOff>
      <xdr:row>14</xdr:row>
      <xdr:rowOff>116752</xdr:rowOff>
    </xdr:from>
    <xdr:to>
      <xdr:col>8</xdr:col>
      <xdr:colOff>53969</xdr:colOff>
      <xdr:row>15</xdr:row>
      <xdr:rowOff>154850</xdr:rowOff>
    </xdr:to>
    <xdr:sp macro="" textlink="">
      <xdr:nvSpPr>
        <xdr:cNvPr id="27" name="Retângulo Arredondado 33">
          <a:extLst>
            <a:ext uri="{FF2B5EF4-FFF2-40B4-BE49-F238E27FC236}">
              <a16:creationId xmlns:a16="http://schemas.microsoft.com/office/drawing/2014/main" id="{69063AFC-AFC4-473C-88E7-E70FE4615FD3}"/>
            </a:ext>
          </a:extLst>
        </xdr:cNvPr>
        <xdr:cNvSpPr/>
      </xdr:nvSpPr>
      <xdr:spPr>
        <a:xfrm>
          <a:off x="5908912" y="3012352"/>
          <a:ext cx="2504197" cy="236218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COM ICMS</a:t>
          </a:r>
        </a:p>
      </xdr:txBody>
    </xdr:sp>
    <xdr:clientData/>
  </xdr:twoCellAnchor>
  <xdr:twoCellAnchor editAs="absolute">
    <xdr:from>
      <xdr:col>6</xdr:col>
      <xdr:colOff>77709</xdr:colOff>
      <xdr:row>19</xdr:row>
      <xdr:rowOff>135180</xdr:rowOff>
    </xdr:from>
    <xdr:to>
      <xdr:col>8</xdr:col>
      <xdr:colOff>42499</xdr:colOff>
      <xdr:row>20</xdr:row>
      <xdr:rowOff>144706</xdr:rowOff>
    </xdr:to>
    <xdr:sp macro="" textlink="$C$17">
      <xdr:nvSpPr>
        <xdr:cNvPr id="28" name="Retângulo Arredondado 47">
          <a:extLst>
            <a:ext uri="{FF2B5EF4-FFF2-40B4-BE49-F238E27FC236}">
              <a16:creationId xmlns:a16="http://schemas.microsoft.com/office/drawing/2014/main" id="{0FB8CB74-8E0D-4EBB-ADB7-9E7DAC36BDE7}"/>
            </a:ext>
          </a:extLst>
        </xdr:cNvPr>
        <xdr:cNvSpPr/>
      </xdr:nvSpPr>
      <xdr:spPr>
        <a:xfrm>
          <a:off x="7187169" y="4051860"/>
          <a:ext cx="1214470" cy="2076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01D36CE-9F60-422B-93A2-130EE06A4815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77709</xdr:colOff>
      <xdr:row>20</xdr:row>
      <xdr:rowOff>174339</xdr:rowOff>
    </xdr:from>
    <xdr:to>
      <xdr:col>8</xdr:col>
      <xdr:colOff>42499</xdr:colOff>
      <xdr:row>21</xdr:row>
      <xdr:rowOff>183865</xdr:rowOff>
    </xdr:to>
    <xdr:sp macro="" textlink="$C$18">
      <xdr:nvSpPr>
        <xdr:cNvPr id="29" name="Retângulo Arredondado 48">
          <a:extLst>
            <a:ext uri="{FF2B5EF4-FFF2-40B4-BE49-F238E27FC236}">
              <a16:creationId xmlns:a16="http://schemas.microsoft.com/office/drawing/2014/main" id="{2E892B95-2345-4E7F-8E2F-C5FBF19B8C3A}"/>
            </a:ext>
          </a:extLst>
        </xdr:cNvPr>
        <xdr:cNvSpPr/>
      </xdr:nvSpPr>
      <xdr:spPr>
        <a:xfrm>
          <a:off x="7187169" y="4289139"/>
          <a:ext cx="1214470" cy="2076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13F3EA9-87A6-4790-8643-1542287A5DF1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77709</xdr:colOff>
      <xdr:row>22</xdr:row>
      <xdr:rowOff>11913</xdr:rowOff>
    </xdr:from>
    <xdr:to>
      <xdr:col>8</xdr:col>
      <xdr:colOff>42499</xdr:colOff>
      <xdr:row>23</xdr:row>
      <xdr:rowOff>19766</xdr:rowOff>
    </xdr:to>
    <xdr:sp macro="" textlink="$C$19">
      <xdr:nvSpPr>
        <xdr:cNvPr id="30" name="Retângulo Arredondado 49">
          <a:extLst>
            <a:ext uri="{FF2B5EF4-FFF2-40B4-BE49-F238E27FC236}">
              <a16:creationId xmlns:a16="http://schemas.microsoft.com/office/drawing/2014/main" id="{DC016F1E-FAB2-4916-80DC-FADFFE073E67}"/>
            </a:ext>
          </a:extLst>
        </xdr:cNvPr>
        <xdr:cNvSpPr/>
      </xdr:nvSpPr>
      <xdr:spPr>
        <a:xfrm>
          <a:off x="7187169" y="4522953"/>
          <a:ext cx="1214470" cy="20597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BEABA3-FC7B-461B-9D82-E3E034261AB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68184</xdr:colOff>
      <xdr:row>23</xdr:row>
      <xdr:rowOff>57866</xdr:rowOff>
    </xdr:from>
    <xdr:to>
      <xdr:col>8</xdr:col>
      <xdr:colOff>32974</xdr:colOff>
      <xdr:row>24</xdr:row>
      <xdr:rowOff>67392</xdr:rowOff>
    </xdr:to>
    <xdr:sp macro="" textlink="$C$20">
      <xdr:nvSpPr>
        <xdr:cNvPr id="31" name="Retângulo Arredondado 50">
          <a:extLst>
            <a:ext uri="{FF2B5EF4-FFF2-40B4-BE49-F238E27FC236}">
              <a16:creationId xmlns:a16="http://schemas.microsoft.com/office/drawing/2014/main" id="{41A8631D-6B42-42D3-A166-6EAED1002532}"/>
            </a:ext>
          </a:extLst>
        </xdr:cNvPr>
        <xdr:cNvSpPr/>
      </xdr:nvSpPr>
      <xdr:spPr>
        <a:xfrm>
          <a:off x="7177644" y="4767026"/>
          <a:ext cx="1214470" cy="2076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9193055-AA7B-4052-852A-F2CB4D6DCFD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68182</xdr:colOff>
      <xdr:row>24</xdr:row>
      <xdr:rowOff>95967</xdr:rowOff>
    </xdr:from>
    <xdr:to>
      <xdr:col>8</xdr:col>
      <xdr:colOff>32972</xdr:colOff>
      <xdr:row>25</xdr:row>
      <xdr:rowOff>105492</xdr:rowOff>
    </xdr:to>
    <xdr:sp macro="" textlink="$C$21">
      <xdr:nvSpPr>
        <xdr:cNvPr id="32" name="Retângulo Arredondado 51">
          <a:extLst>
            <a:ext uri="{FF2B5EF4-FFF2-40B4-BE49-F238E27FC236}">
              <a16:creationId xmlns:a16="http://schemas.microsoft.com/office/drawing/2014/main" id="{AB65C149-43D7-4348-B092-4C406680B54F}"/>
            </a:ext>
          </a:extLst>
        </xdr:cNvPr>
        <xdr:cNvSpPr/>
      </xdr:nvSpPr>
      <xdr:spPr>
        <a:xfrm>
          <a:off x="7177642" y="5003247"/>
          <a:ext cx="1214470" cy="2076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C7958A-EE64-4F0C-86D7-7012573C033D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19</xdr:row>
      <xdr:rowOff>133509</xdr:rowOff>
    </xdr:from>
    <xdr:to>
      <xdr:col>12</xdr:col>
      <xdr:colOff>409396</xdr:colOff>
      <xdr:row>20</xdr:row>
      <xdr:rowOff>143034</xdr:rowOff>
    </xdr:to>
    <xdr:sp macro="" textlink="$C$22">
      <xdr:nvSpPr>
        <xdr:cNvPr id="33" name="Retângulo Arredondado 52">
          <a:extLst>
            <a:ext uri="{FF2B5EF4-FFF2-40B4-BE49-F238E27FC236}">
              <a16:creationId xmlns:a16="http://schemas.microsoft.com/office/drawing/2014/main" id="{5C0F9EC9-08EE-4833-92C1-53814E7695C1}"/>
            </a:ext>
          </a:extLst>
        </xdr:cNvPr>
        <xdr:cNvSpPr/>
      </xdr:nvSpPr>
      <xdr:spPr>
        <a:xfrm>
          <a:off x="9837426" y="4050189"/>
          <a:ext cx="1430470" cy="2076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44894BC-5935-4E51-A28D-F54E90545E5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20</xdr:row>
      <xdr:rowOff>172667</xdr:rowOff>
    </xdr:from>
    <xdr:to>
      <xdr:col>12</xdr:col>
      <xdr:colOff>409396</xdr:colOff>
      <xdr:row>21</xdr:row>
      <xdr:rowOff>182194</xdr:rowOff>
    </xdr:to>
    <xdr:sp macro="" textlink="$C$23">
      <xdr:nvSpPr>
        <xdr:cNvPr id="34" name="Retângulo Arredondado 53">
          <a:extLst>
            <a:ext uri="{FF2B5EF4-FFF2-40B4-BE49-F238E27FC236}">
              <a16:creationId xmlns:a16="http://schemas.microsoft.com/office/drawing/2014/main" id="{B2DB3151-DC01-4C9A-B1F3-A552F260F69D}"/>
            </a:ext>
          </a:extLst>
        </xdr:cNvPr>
        <xdr:cNvSpPr/>
      </xdr:nvSpPr>
      <xdr:spPr>
        <a:xfrm>
          <a:off x="9837426" y="4287467"/>
          <a:ext cx="1430470" cy="20764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5FE557-6353-4BB0-AF34-DDA85AC15A0F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22</xdr:row>
      <xdr:rowOff>10242</xdr:rowOff>
    </xdr:from>
    <xdr:to>
      <xdr:col>12</xdr:col>
      <xdr:colOff>409396</xdr:colOff>
      <xdr:row>23</xdr:row>
      <xdr:rowOff>19766</xdr:rowOff>
    </xdr:to>
    <xdr:sp macro="" textlink="$C$24">
      <xdr:nvSpPr>
        <xdr:cNvPr id="35" name="Retângulo Arredondado 54">
          <a:extLst>
            <a:ext uri="{FF2B5EF4-FFF2-40B4-BE49-F238E27FC236}">
              <a16:creationId xmlns:a16="http://schemas.microsoft.com/office/drawing/2014/main" id="{26E99B2D-52F8-457A-8128-106C4AAFAB35}"/>
            </a:ext>
          </a:extLst>
        </xdr:cNvPr>
        <xdr:cNvSpPr/>
      </xdr:nvSpPr>
      <xdr:spPr>
        <a:xfrm>
          <a:off x="9837426" y="4521282"/>
          <a:ext cx="1430470" cy="20764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53FDD0-91CD-46D9-821D-D5F209A9B77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10</xdr:col>
      <xdr:colOff>228606</xdr:colOff>
      <xdr:row>23</xdr:row>
      <xdr:rowOff>57866</xdr:rowOff>
    </xdr:from>
    <xdr:to>
      <xdr:col>12</xdr:col>
      <xdr:colOff>409396</xdr:colOff>
      <xdr:row>24</xdr:row>
      <xdr:rowOff>56808</xdr:rowOff>
    </xdr:to>
    <xdr:sp macro="" textlink="$C$25">
      <xdr:nvSpPr>
        <xdr:cNvPr id="36" name="Retângulo Arredondado 55">
          <a:extLst>
            <a:ext uri="{FF2B5EF4-FFF2-40B4-BE49-F238E27FC236}">
              <a16:creationId xmlns:a16="http://schemas.microsoft.com/office/drawing/2014/main" id="{D58BFB8C-34D0-4DE7-866C-B408834D1F29}"/>
            </a:ext>
          </a:extLst>
        </xdr:cNvPr>
        <xdr:cNvSpPr/>
      </xdr:nvSpPr>
      <xdr:spPr>
        <a:xfrm>
          <a:off x="9837426" y="4767026"/>
          <a:ext cx="1430470" cy="19706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8F42ED-C77A-401D-84C9-24435B224F7E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87232</xdr:colOff>
      <xdr:row>14</xdr:row>
      <xdr:rowOff>117253</xdr:rowOff>
    </xdr:from>
    <xdr:to>
      <xdr:col>12</xdr:col>
      <xdr:colOff>418464</xdr:colOff>
      <xdr:row>15</xdr:row>
      <xdr:rowOff>155351</xdr:rowOff>
    </xdr:to>
    <xdr:sp macro="" textlink="$C$12">
      <xdr:nvSpPr>
        <xdr:cNvPr id="37" name="Retângulo Arredondado 57">
          <a:extLst>
            <a:ext uri="{FF2B5EF4-FFF2-40B4-BE49-F238E27FC236}">
              <a16:creationId xmlns:a16="http://schemas.microsoft.com/office/drawing/2014/main" id="{1DB0FD42-B407-4617-870F-6D5468440411}"/>
            </a:ext>
          </a:extLst>
        </xdr:cNvPr>
        <xdr:cNvSpPr/>
      </xdr:nvSpPr>
      <xdr:spPr>
        <a:xfrm>
          <a:off x="8446372" y="3012853"/>
          <a:ext cx="2830592" cy="23621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A51031-6DFC-4CAB-86FA-C096EF17A356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R$ 4.308,64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49132</xdr:colOff>
      <xdr:row>13</xdr:row>
      <xdr:rowOff>51190</xdr:rowOff>
    </xdr:from>
    <xdr:to>
      <xdr:col>8</xdr:col>
      <xdr:colOff>53969</xdr:colOff>
      <xdr:row>14</xdr:row>
      <xdr:rowOff>96587</xdr:rowOff>
    </xdr:to>
    <xdr:sp macro="" textlink="">
      <xdr:nvSpPr>
        <xdr:cNvPr id="38" name="Retângulo Arredondado 58">
          <a:extLst>
            <a:ext uri="{FF2B5EF4-FFF2-40B4-BE49-F238E27FC236}">
              <a16:creationId xmlns:a16="http://schemas.microsoft.com/office/drawing/2014/main" id="{5681C04E-13F0-407A-A0CC-D58ACA337331}"/>
            </a:ext>
          </a:extLst>
        </xdr:cNvPr>
        <xdr:cNvSpPr/>
      </xdr:nvSpPr>
      <xdr:spPr>
        <a:xfrm>
          <a:off x="5908912" y="2748670"/>
          <a:ext cx="2504197" cy="243517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AD VALOREM</a:t>
          </a:r>
        </a:p>
      </xdr:txBody>
    </xdr:sp>
    <xdr:clientData/>
  </xdr:twoCellAnchor>
  <xdr:twoCellAnchor editAs="absolute">
    <xdr:from>
      <xdr:col>8</xdr:col>
      <xdr:colOff>87232</xdr:colOff>
      <xdr:row>13</xdr:row>
      <xdr:rowOff>51691</xdr:rowOff>
    </xdr:from>
    <xdr:to>
      <xdr:col>12</xdr:col>
      <xdr:colOff>418464</xdr:colOff>
      <xdr:row>14</xdr:row>
      <xdr:rowOff>99317</xdr:rowOff>
    </xdr:to>
    <xdr:sp macro="" textlink="$C$15">
      <xdr:nvSpPr>
        <xdr:cNvPr id="39" name="Retângulo Arredondado 59">
          <a:extLst>
            <a:ext uri="{FF2B5EF4-FFF2-40B4-BE49-F238E27FC236}">
              <a16:creationId xmlns:a16="http://schemas.microsoft.com/office/drawing/2014/main" id="{2CBF016B-65A7-4049-8A29-335845DDDA96}"/>
            </a:ext>
          </a:extLst>
        </xdr:cNvPr>
        <xdr:cNvSpPr/>
      </xdr:nvSpPr>
      <xdr:spPr>
        <a:xfrm>
          <a:off x="8446372" y="2749171"/>
          <a:ext cx="2830592" cy="245746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D2299C6-8C30-4E1B-A9EF-95BBABAFCEF8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46378</xdr:colOff>
      <xdr:row>10</xdr:row>
      <xdr:rowOff>167051</xdr:rowOff>
    </xdr:from>
    <xdr:to>
      <xdr:col>8</xdr:col>
      <xdr:colOff>55978</xdr:colOff>
      <xdr:row>12</xdr:row>
      <xdr:rowOff>14149</xdr:rowOff>
    </xdr:to>
    <xdr:sp macro="" textlink="">
      <xdr:nvSpPr>
        <xdr:cNvPr id="40" name="Retângulo Arredondado 97">
          <a:extLst>
            <a:ext uri="{FF2B5EF4-FFF2-40B4-BE49-F238E27FC236}">
              <a16:creationId xmlns:a16="http://schemas.microsoft.com/office/drawing/2014/main" id="{09B37BC4-851C-46A9-B581-02EEC8E86D87}"/>
            </a:ext>
          </a:extLst>
        </xdr:cNvPr>
        <xdr:cNvSpPr/>
      </xdr:nvSpPr>
      <xdr:spPr>
        <a:xfrm>
          <a:off x="5906158" y="2239691"/>
          <a:ext cx="2508960" cy="24333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VALOR DA CARGA</a:t>
          </a:r>
        </a:p>
      </xdr:txBody>
    </xdr:sp>
    <xdr:clientData/>
  </xdr:twoCellAnchor>
  <xdr:twoCellAnchor editAs="absolute">
    <xdr:from>
      <xdr:col>8</xdr:col>
      <xdr:colOff>94003</xdr:colOff>
      <xdr:row>10</xdr:row>
      <xdr:rowOff>176576</xdr:rowOff>
    </xdr:from>
    <xdr:to>
      <xdr:col>12</xdr:col>
      <xdr:colOff>433141</xdr:colOff>
      <xdr:row>12</xdr:row>
      <xdr:rowOff>23674</xdr:rowOff>
    </xdr:to>
    <xdr:sp macro="" textlink="$C$14">
      <xdr:nvSpPr>
        <xdr:cNvPr id="41" name="Retângulo Arredondado 98">
          <a:extLst>
            <a:ext uri="{FF2B5EF4-FFF2-40B4-BE49-F238E27FC236}">
              <a16:creationId xmlns:a16="http://schemas.microsoft.com/office/drawing/2014/main" id="{01F21B16-F476-430F-87E7-F890C462EF5B}"/>
            </a:ext>
          </a:extLst>
        </xdr:cNvPr>
        <xdr:cNvSpPr/>
      </xdr:nvSpPr>
      <xdr:spPr>
        <a:xfrm>
          <a:off x="8453143" y="2249216"/>
          <a:ext cx="2838498" cy="24333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DD76CC-FAF3-4F0C-BDBA-A54D31EBFF12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150396</xdr:colOff>
      <xdr:row>1</xdr:row>
      <xdr:rowOff>95249</xdr:rowOff>
    </xdr:from>
    <xdr:to>
      <xdr:col>5</xdr:col>
      <xdr:colOff>514333</xdr:colOff>
      <xdr:row>4</xdr:row>
      <xdr:rowOff>5013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A2A0FE9-6223-484B-9F3B-5B35F754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176" y="247649"/>
          <a:ext cx="988777" cy="610804"/>
        </a:xfrm>
        <a:prstGeom prst="rect">
          <a:avLst/>
        </a:prstGeom>
      </xdr:spPr>
    </xdr:pic>
    <xdr:clientData/>
  </xdr:twoCellAnchor>
  <xdr:twoCellAnchor editAs="absolute">
    <xdr:from>
      <xdr:col>5</xdr:col>
      <xdr:colOff>587539</xdr:colOff>
      <xdr:row>1</xdr:row>
      <xdr:rowOff>100263</xdr:rowOff>
    </xdr:from>
    <xdr:to>
      <xdr:col>12</xdr:col>
      <xdr:colOff>320842</xdr:colOff>
      <xdr:row>2</xdr:row>
      <xdr:rowOff>71526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894888B5-EFF7-424D-AB96-9F355418FAF1}"/>
            </a:ext>
          </a:extLst>
        </xdr:cNvPr>
        <xdr:cNvSpPr txBox="1"/>
      </xdr:nvSpPr>
      <xdr:spPr>
        <a:xfrm>
          <a:off x="7072159" y="252663"/>
          <a:ext cx="4107183" cy="245583"/>
        </a:xfrm>
        <a:prstGeom prst="roundRect">
          <a:avLst/>
        </a:prstGeom>
        <a:solidFill>
          <a:schemeClr val="tx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Bahnschrift" panose="020B0502040204020203" pitchFamily="34" charset="0"/>
            </a:rPr>
            <a:t>Cliente: CENTRAL</a:t>
          </a:r>
          <a:r>
            <a:rPr lang="pt-BR" sz="1200" b="1" baseline="0">
              <a:solidFill>
                <a:schemeClr val="bg1"/>
              </a:solidFill>
              <a:latin typeface="Bahnschrift" panose="020B0502040204020203" pitchFamily="34" charset="0"/>
            </a:rPr>
            <a:t> DA CONSTRUÇÃO</a:t>
          </a:r>
        </a:p>
      </xdr:txBody>
    </xdr:sp>
    <xdr:clientData/>
  </xdr:twoCellAnchor>
  <xdr:twoCellAnchor editAs="absolute">
    <xdr:from>
      <xdr:col>5</xdr:col>
      <xdr:colOff>587539</xdr:colOff>
      <xdr:row>2</xdr:row>
      <xdr:rowOff>142372</xdr:rowOff>
    </xdr:from>
    <xdr:to>
      <xdr:col>12</xdr:col>
      <xdr:colOff>320842</xdr:colOff>
      <xdr:row>3</xdr:row>
      <xdr:rowOff>163767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F250DD36-51FB-4EED-90B8-AA639A70B14B}"/>
            </a:ext>
          </a:extLst>
        </xdr:cNvPr>
        <xdr:cNvSpPr txBox="1"/>
      </xdr:nvSpPr>
      <xdr:spPr>
        <a:xfrm>
          <a:off x="7072159" y="569092"/>
          <a:ext cx="4107183" cy="249995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0">
              <a:solidFill>
                <a:schemeClr val="tx2">
                  <a:lumMod val="50000"/>
                </a:schemeClr>
              </a:solidFill>
              <a:latin typeface="Bahnschrift" panose="020B0502040204020203" pitchFamily="34" charset="0"/>
            </a:rPr>
            <a:t>Responsável: JÉSSICA SILVA</a:t>
          </a:r>
        </a:p>
      </xdr:txBody>
    </xdr:sp>
    <xdr:clientData/>
  </xdr:twoCellAnchor>
  <xdr:twoCellAnchor>
    <xdr:from>
      <xdr:col>3</xdr:col>
      <xdr:colOff>150395</xdr:colOff>
      <xdr:row>0</xdr:row>
      <xdr:rowOff>150394</xdr:rowOff>
    </xdr:from>
    <xdr:to>
      <xdr:col>12</xdr:col>
      <xdr:colOff>521368</xdr:colOff>
      <xdr:row>28</xdr:row>
      <xdr:rowOff>30079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D156E7CB-326F-4B08-878A-9B8C8339DD28}"/>
            </a:ext>
          </a:extLst>
        </xdr:cNvPr>
        <xdr:cNvSpPr/>
      </xdr:nvSpPr>
      <xdr:spPr>
        <a:xfrm>
          <a:off x="5758715" y="150394"/>
          <a:ext cx="5621153" cy="5686125"/>
        </a:xfrm>
        <a:prstGeom prst="rect">
          <a:avLst/>
        </a:prstGeom>
        <a:noFill/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72193</xdr:colOff>
      <xdr:row>24</xdr:row>
      <xdr:rowOff>99473</xdr:rowOff>
    </xdr:from>
    <xdr:to>
      <xdr:col>10</xdr:col>
      <xdr:colOff>180982</xdr:colOff>
      <xdr:row>25</xdr:row>
      <xdr:rowOff>98414</xdr:rowOff>
    </xdr:to>
    <xdr:sp macro="" textlink="">
      <xdr:nvSpPr>
        <xdr:cNvPr id="46" name="Retângulo Arredondado 45">
          <a:extLst>
            <a:ext uri="{FF2B5EF4-FFF2-40B4-BE49-F238E27FC236}">
              <a16:creationId xmlns:a16="http://schemas.microsoft.com/office/drawing/2014/main" id="{4C4F369F-9F86-4C67-8550-4DA994C01DA0}"/>
            </a:ext>
          </a:extLst>
        </xdr:cNvPr>
        <xdr:cNvSpPr/>
      </xdr:nvSpPr>
      <xdr:spPr>
        <a:xfrm>
          <a:off x="8431333" y="5006753"/>
          <a:ext cx="1358469" cy="19706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OUTROS</a:t>
          </a:r>
        </a:p>
      </xdr:txBody>
    </xdr:sp>
    <xdr:clientData/>
  </xdr:twoCellAnchor>
  <xdr:twoCellAnchor editAs="absolute">
    <xdr:from>
      <xdr:col>10</xdr:col>
      <xdr:colOff>230612</xdr:colOff>
      <xdr:row>24</xdr:row>
      <xdr:rowOff>99974</xdr:rowOff>
    </xdr:from>
    <xdr:to>
      <xdr:col>12</xdr:col>
      <xdr:colOff>411402</xdr:colOff>
      <xdr:row>25</xdr:row>
      <xdr:rowOff>98915</xdr:rowOff>
    </xdr:to>
    <xdr:sp macro="" textlink="$C$26">
      <xdr:nvSpPr>
        <xdr:cNvPr id="47" name="Retângulo Arredondado 46">
          <a:extLst>
            <a:ext uri="{FF2B5EF4-FFF2-40B4-BE49-F238E27FC236}">
              <a16:creationId xmlns:a16="http://schemas.microsoft.com/office/drawing/2014/main" id="{A8AB334A-C7A4-4D87-8C78-19A93D89E44D}"/>
            </a:ext>
          </a:extLst>
        </xdr:cNvPr>
        <xdr:cNvSpPr/>
      </xdr:nvSpPr>
      <xdr:spPr>
        <a:xfrm>
          <a:off x="9839432" y="5007254"/>
          <a:ext cx="1430470" cy="19706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ED2BAA-C938-459C-9F8E-48F8786E4836}" type="TxLink"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46875</xdr:colOff>
      <xdr:row>18</xdr:row>
      <xdr:rowOff>56814</xdr:rowOff>
    </xdr:from>
    <xdr:to>
      <xdr:col>12</xdr:col>
      <xdr:colOff>446033</xdr:colOff>
      <xdr:row>19</xdr:row>
      <xdr:rowOff>55755</xdr:rowOff>
    </xdr:to>
    <xdr:sp macro="" textlink="">
      <xdr:nvSpPr>
        <xdr:cNvPr id="48" name="Retângulo Arredondado 56">
          <a:extLst>
            <a:ext uri="{FF2B5EF4-FFF2-40B4-BE49-F238E27FC236}">
              <a16:creationId xmlns:a16="http://schemas.microsoft.com/office/drawing/2014/main" id="{45AD15D4-ECB5-4C73-BE92-0C07773EB22D}"/>
            </a:ext>
          </a:extLst>
        </xdr:cNvPr>
        <xdr:cNvSpPr/>
      </xdr:nvSpPr>
      <xdr:spPr>
        <a:xfrm>
          <a:off x="5906655" y="3775374"/>
          <a:ext cx="5397878" cy="197061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SERVIÇOS ADICIONAIS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99765</xdr:colOff>
      <xdr:row>1</xdr:row>
      <xdr:rowOff>4011</xdr:rowOff>
    </xdr:from>
    <xdr:to>
      <xdr:col>12</xdr:col>
      <xdr:colOff>498923</xdr:colOff>
      <xdr:row>1</xdr:row>
      <xdr:rowOff>239183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795715" y="118311"/>
          <a:ext cx="5275958" cy="235172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CÁLCULO DE FRETE</a:t>
          </a:r>
          <a:endParaRPr lang="pt-BR" sz="1400" b="1"/>
        </a:p>
      </xdr:txBody>
    </xdr:sp>
    <xdr:clientData/>
  </xdr:twoCellAnchor>
  <xdr:twoCellAnchor editAs="absolute">
    <xdr:from>
      <xdr:col>4</xdr:col>
      <xdr:colOff>104527</xdr:colOff>
      <xdr:row>1</xdr:row>
      <xdr:rowOff>258234</xdr:rowOff>
    </xdr:from>
    <xdr:to>
      <xdr:col>12</xdr:col>
      <xdr:colOff>503685</xdr:colOff>
      <xdr:row>2</xdr:row>
      <xdr:rowOff>195792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800477" y="372534"/>
          <a:ext cx="5275958" cy="21378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PARAMETRIZAÇÃO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104527</xdr:colOff>
      <xdr:row>2</xdr:row>
      <xdr:rowOff>214842</xdr:rowOff>
    </xdr:from>
    <xdr:to>
      <xdr:col>8</xdr:col>
      <xdr:colOff>114127</xdr:colOff>
      <xdr:row>4</xdr:row>
      <xdr:rowOff>40217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800477" y="605367"/>
          <a:ext cx="2448000" cy="25400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ROTA</a:t>
          </a:r>
        </a:p>
      </xdr:txBody>
    </xdr:sp>
    <xdr:clientData/>
  </xdr:twoCellAnchor>
  <xdr:twoCellAnchor editAs="absolute">
    <xdr:from>
      <xdr:col>4</xdr:col>
      <xdr:colOff>104527</xdr:colOff>
      <xdr:row>4</xdr:row>
      <xdr:rowOff>68792</xdr:rowOff>
    </xdr:from>
    <xdr:to>
      <xdr:col>8</xdr:col>
      <xdr:colOff>114127</xdr:colOff>
      <xdr:row>5</xdr:row>
      <xdr:rowOff>116417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800477" y="887942"/>
          <a:ext cx="2448000" cy="2476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TIPO DE CARGA</a:t>
          </a:r>
        </a:p>
      </xdr:txBody>
    </xdr:sp>
    <xdr:clientData/>
  </xdr:twoCellAnchor>
  <xdr:twoCellAnchor editAs="absolute">
    <xdr:from>
      <xdr:col>4</xdr:col>
      <xdr:colOff>104527</xdr:colOff>
      <xdr:row>5</xdr:row>
      <xdr:rowOff>155018</xdr:rowOff>
    </xdr:from>
    <xdr:to>
      <xdr:col>8</xdr:col>
      <xdr:colOff>114127</xdr:colOff>
      <xdr:row>7</xdr:row>
      <xdr:rowOff>2116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800477" y="1174193"/>
          <a:ext cx="2448000" cy="24714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DESCONTO</a:t>
          </a:r>
        </a:p>
      </xdr:txBody>
    </xdr:sp>
    <xdr:clientData/>
  </xdr:twoCellAnchor>
  <xdr:twoCellAnchor editAs="absolute">
    <xdr:from>
      <xdr:col>4</xdr:col>
      <xdr:colOff>90240</xdr:colOff>
      <xdr:row>8</xdr:row>
      <xdr:rowOff>78650</xdr:rowOff>
    </xdr:from>
    <xdr:to>
      <xdr:col>12</xdr:col>
      <xdr:colOff>489398</xdr:colOff>
      <xdr:row>9</xdr:row>
      <xdr:rowOff>88174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786190" y="1726475"/>
          <a:ext cx="5275958" cy="209549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DESCRIÇÃO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99765</xdr:colOff>
      <xdr:row>14</xdr:row>
      <xdr:rowOff>124655</xdr:rowOff>
    </xdr:from>
    <xdr:to>
      <xdr:col>8</xdr:col>
      <xdr:colOff>104602</xdr:colOff>
      <xdr:row>15</xdr:row>
      <xdr:rowOff>134181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795715" y="3001205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REMETENTE</a:t>
          </a:r>
        </a:p>
      </xdr:txBody>
    </xdr:sp>
    <xdr:clientData/>
  </xdr:twoCellAnchor>
  <xdr:twoCellAnchor editAs="absolute">
    <xdr:from>
      <xdr:col>4</xdr:col>
      <xdr:colOff>99765</xdr:colOff>
      <xdr:row>15</xdr:row>
      <xdr:rowOff>163814</xdr:rowOff>
    </xdr:from>
    <xdr:to>
      <xdr:col>8</xdr:col>
      <xdr:colOff>104602</xdr:colOff>
      <xdr:row>16</xdr:row>
      <xdr:rowOff>143260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795715" y="3240389"/>
          <a:ext cx="2443237" cy="208046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PESAGEM</a:t>
          </a:r>
        </a:p>
      </xdr:txBody>
    </xdr:sp>
    <xdr:clientData/>
  </xdr:twoCellAnchor>
  <xdr:twoCellAnchor editAs="absolute">
    <xdr:from>
      <xdr:col>4</xdr:col>
      <xdr:colOff>99765</xdr:colOff>
      <xdr:row>16</xdr:row>
      <xdr:rowOff>171835</xdr:rowOff>
    </xdr:from>
    <xdr:to>
      <xdr:col>8</xdr:col>
      <xdr:colOff>104602</xdr:colOff>
      <xdr:row>17</xdr:row>
      <xdr:rowOff>179688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5795715" y="3477010"/>
          <a:ext cx="2443237" cy="20787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ESTIVA DESTINATÁRIO</a:t>
          </a:r>
        </a:p>
      </xdr:txBody>
    </xdr:sp>
    <xdr:clientData/>
  </xdr:twoCellAnchor>
  <xdr:twoCellAnchor editAs="absolute">
    <xdr:from>
      <xdr:col>8</xdr:col>
      <xdr:colOff>152152</xdr:colOff>
      <xdr:row>2</xdr:row>
      <xdr:rowOff>224367</xdr:rowOff>
    </xdr:from>
    <xdr:to>
      <xdr:col>12</xdr:col>
      <xdr:colOff>491290</xdr:colOff>
      <xdr:row>4</xdr:row>
      <xdr:rowOff>49742</xdr:rowOff>
    </xdr:to>
    <xdr:sp macro="" textlink="$C$4">
      <xdr:nvSpPr>
        <xdr:cNvPr id="11" name="Retângulo Arredondado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286502" y="614892"/>
          <a:ext cx="2777538" cy="254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763D62-AB32-41A2-8554-21024FAAA7BD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BLM - MCP - BLM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152152</xdr:colOff>
      <xdr:row>4</xdr:row>
      <xdr:rowOff>78317</xdr:rowOff>
    </xdr:from>
    <xdr:to>
      <xdr:col>12</xdr:col>
      <xdr:colOff>491290</xdr:colOff>
      <xdr:row>5</xdr:row>
      <xdr:rowOff>125942</xdr:rowOff>
    </xdr:to>
    <xdr:sp macro="" textlink="$C$5">
      <xdr:nvSpPr>
        <xdr:cNvPr id="12" name="Retângulo Arredondad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8286502" y="897467"/>
          <a:ext cx="2777538" cy="2476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D49B42-D92E-4A25-A8A3-A50119900280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CARRETA COM CAVALO - IDA/VOLTA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152152</xdr:colOff>
      <xdr:row>5</xdr:row>
      <xdr:rowOff>164543</xdr:rowOff>
    </xdr:from>
    <xdr:to>
      <xdr:col>12</xdr:col>
      <xdr:colOff>491290</xdr:colOff>
      <xdr:row>7</xdr:row>
      <xdr:rowOff>11641</xdr:rowOff>
    </xdr:to>
    <xdr:sp macro="" textlink="$C$7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8286502" y="1183718"/>
          <a:ext cx="2777538" cy="2471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AB8FAB-9D96-4519-8379-3CF2EEFE31B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0%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90240</xdr:colOff>
      <xdr:row>18</xdr:row>
      <xdr:rowOff>17262</xdr:rowOff>
    </xdr:from>
    <xdr:to>
      <xdr:col>8</xdr:col>
      <xdr:colOff>95077</xdr:colOff>
      <xdr:row>19</xdr:row>
      <xdr:rowOff>26788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5786190" y="3722487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OVAÇÃO</a:t>
          </a:r>
        </a:p>
      </xdr:txBody>
    </xdr:sp>
    <xdr:clientData/>
  </xdr:twoCellAnchor>
  <xdr:twoCellAnchor editAs="absolute">
    <xdr:from>
      <xdr:col>4</xdr:col>
      <xdr:colOff>90240</xdr:colOff>
      <xdr:row>19</xdr:row>
      <xdr:rowOff>55363</xdr:rowOff>
    </xdr:from>
    <xdr:to>
      <xdr:col>8</xdr:col>
      <xdr:colOff>95077</xdr:colOff>
      <xdr:row>20</xdr:row>
      <xdr:rowOff>64888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5786190" y="3960613"/>
          <a:ext cx="2443237" cy="2095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COLETA</a:t>
          </a:r>
        </a:p>
      </xdr:txBody>
    </xdr:sp>
    <xdr:clientData/>
  </xdr:twoCellAnchor>
  <xdr:twoCellAnchor editAs="absolute">
    <xdr:from>
      <xdr:col>4</xdr:col>
      <xdr:colOff>90240</xdr:colOff>
      <xdr:row>20</xdr:row>
      <xdr:rowOff>92905</xdr:rowOff>
    </xdr:from>
    <xdr:to>
      <xdr:col>8</xdr:col>
      <xdr:colOff>95077</xdr:colOff>
      <xdr:row>21</xdr:row>
      <xdr:rowOff>102430</xdr:rowOff>
    </xdr:to>
    <xdr:sp macro="" textlink="">
      <xdr:nvSpPr>
        <xdr:cNvPr id="16" name="Retângulo Arredondado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5786190" y="4198180"/>
          <a:ext cx="2443237" cy="2095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ENTREGA</a:t>
          </a:r>
        </a:p>
      </xdr:txBody>
    </xdr:sp>
    <xdr:clientData/>
  </xdr:twoCellAnchor>
  <xdr:twoCellAnchor editAs="absolute">
    <xdr:from>
      <xdr:col>4</xdr:col>
      <xdr:colOff>90240</xdr:colOff>
      <xdr:row>21</xdr:row>
      <xdr:rowOff>132063</xdr:rowOff>
    </xdr:from>
    <xdr:to>
      <xdr:col>8</xdr:col>
      <xdr:colOff>95077</xdr:colOff>
      <xdr:row>22</xdr:row>
      <xdr:rowOff>141590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786190" y="4437363"/>
          <a:ext cx="2443237" cy="20955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EXPURGO</a:t>
          </a:r>
        </a:p>
      </xdr:txBody>
    </xdr:sp>
    <xdr:clientData/>
  </xdr:twoCellAnchor>
  <xdr:twoCellAnchor editAs="absolute">
    <xdr:from>
      <xdr:col>4</xdr:col>
      <xdr:colOff>90240</xdr:colOff>
      <xdr:row>22</xdr:row>
      <xdr:rowOff>170165</xdr:rowOff>
    </xdr:from>
    <xdr:to>
      <xdr:col>8</xdr:col>
      <xdr:colOff>95077</xdr:colOff>
      <xdr:row>23</xdr:row>
      <xdr:rowOff>179688</xdr:rowOff>
    </xdr:to>
    <xdr:sp macro="" textlink="">
      <xdr:nvSpPr>
        <xdr:cNvPr id="18" name="Retângulo Arredondado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5786190" y="4675490"/>
          <a:ext cx="2443237" cy="20954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ENLONAMENTO</a:t>
          </a:r>
        </a:p>
      </xdr:txBody>
    </xdr:sp>
    <xdr:clientData/>
  </xdr:twoCellAnchor>
  <xdr:twoCellAnchor editAs="absolute">
    <xdr:from>
      <xdr:col>4</xdr:col>
      <xdr:colOff>90240</xdr:colOff>
      <xdr:row>24</xdr:row>
      <xdr:rowOff>17262</xdr:rowOff>
    </xdr:from>
    <xdr:to>
      <xdr:col>8</xdr:col>
      <xdr:colOff>95077</xdr:colOff>
      <xdr:row>25</xdr:row>
      <xdr:rowOff>16204</xdr:rowOff>
    </xdr:to>
    <xdr:sp macro="" textlink="">
      <xdr:nvSpPr>
        <xdr:cNvPr id="19" name="Retângulo Arredondado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5786190" y="4922637"/>
          <a:ext cx="2443237" cy="198967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</a:t>
          </a:r>
        </a:p>
      </xdr:txBody>
    </xdr:sp>
    <xdr:clientData/>
  </xdr:twoCellAnchor>
  <xdr:twoCellAnchor editAs="absolute">
    <xdr:from>
      <xdr:col>4</xdr:col>
      <xdr:colOff>95002</xdr:colOff>
      <xdr:row>25</xdr:row>
      <xdr:rowOff>44780</xdr:rowOff>
    </xdr:from>
    <xdr:to>
      <xdr:col>12</xdr:col>
      <xdr:colOff>494160</xdr:colOff>
      <xdr:row>26</xdr:row>
      <xdr:rowOff>43721</xdr:rowOff>
    </xdr:to>
    <xdr:sp macro="" textlink="">
      <xdr:nvSpPr>
        <xdr:cNvPr id="20" name="Retângulo Arredondado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5790952" y="5150180"/>
          <a:ext cx="5275958" cy="198966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TOTAL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105029</xdr:colOff>
      <xdr:row>12</xdr:row>
      <xdr:rowOff>42220</xdr:rowOff>
    </xdr:from>
    <xdr:to>
      <xdr:col>8</xdr:col>
      <xdr:colOff>114629</xdr:colOff>
      <xdr:row>13</xdr:row>
      <xdr:rowOff>29574</xdr:rowOff>
    </xdr:to>
    <xdr:sp macro="" textlink="">
      <xdr:nvSpPr>
        <xdr:cNvPr id="21" name="Retângulo Arredondado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5800979" y="2490145"/>
          <a:ext cx="2448000" cy="215954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SEM ICMS</a:t>
          </a:r>
        </a:p>
      </xdr:txBody>
    </xdr:sp>
    <xdr:clientData/>
  </xdr:twoCellAnchor>
  <xdr:twoCellAnchor editAs="absolute">
    <xdr:from>
      <xdr:col>4</xdr:col>
      <xdr:colOff>105029</xdr:colOff>
      <xdr:row>13</xdr:row>
      <xdr:rowOff>58149</xdr:rowOff>
    </xdr:from>
    <xdr:to>
      <xdr:col>8</xdr:col>
      <xdr:colOff>114629</xdr:colOff>
      <xdr:row>14</xdr:row>
      <xdr:rowOff>76142</xdr:rowOff>
    </xdr:to>
    <xdr:sp macro="" textlink="">
      <xdr:nvSpPr>
        <xdr:cNvPr id="22" name="Retângulo Arredondado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5800979" y="2734674"/>
          <a:ext cx="2448000" cy="218018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ICMS</a:t>
          </a:r>
        </a:p>
      </xdr:txBody>
    </xdr:sp>
    <xdr:clientData/>
  </xdr:twoCellAnchor>
  <xdr:twoCellAnchor editAs="absolute">
    <xdr:from>
      <xdr:col>4</xdr:col>
      <xdr:colOff>95002</xdr:colOff>
      <xdr:row>26</xdr:row>
      <xdr:rowOff>64610</xdr:rowOff>
    </xdr:from>
    <xdr:to>
      <xdr:col>8</xdr:col>
      <xdr:colOff>104602</xdr:colOff>
      <xdr:row>27</xdr:row>
      <xdr:rowOff>100263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5790952" y="5370035"/>
          <a:ext cx="2448000" cy="340453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TOTAL FRETE</a:t>
          </a:r>
        </a:p>
      </xdr:txBody>
    </xdr:sp>
    <xdr:clientData/>
  </xdr:twoCellAnchor>
  <xdr:twoCellAnchor editAs="absolute">
    <xdr:from>
      <xdr:col>8</xdr:col>
      <xdr:colOff>152653</xdr:colOff>
      <xdr:row>12</xdr:row>
      <xdr:rowOff>41161</xdr:rowOff>
    </xdr:from>
    <xdr:to>
      <xdr:col>12</xdr:col>
      <xdr:colOff>489449</xdr:colOff>
      <xdr:row>13</xdr:row>
      <xdr:rowOff>29073</xdr:rowOff>
    </xdr:to>
    <xdr:sp macro="" textlink="$C$11">
      <xdr:nvSpPr>
        <xdr:cNvPr id="24" name="Retângulo Arredondad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8287003" y="2489086"/>
          <a:ext cx="2775196" cy="216512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DAC9A0-1852-4A78-9E2C-87FB5321488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R$ 9.148,31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152653</xdr:colOff>
      <xdr:row>13</xdr:row>
      <xdr:rowOff>57648</xdr:rowOff>
    </xdr:from>
    <xdr:to>
      <xdr:col>12</xdr:col>
      <xdr:colOff>489449</xdr:colOff>
      <xdr:row>14</xdr:row>
      <xdr:rowOff>75641</xdr:rowOff>
    </xdr:to>
    <xdr:sp macro="" textlink="$C$10">
      <xdr:nvSpPr>
        <xdr:cNvPr id="25" name="Retângulo Arredondad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287003" y="2734173"/>
          <a:ext cx="2775196" cy="21801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01CB10-DF42-4189-AE04-41933F42A38F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12%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142626</xdr:colOff>
      <xdr:row>26</xdr:row>
      <xdr:rowOff>74135</xdr:rowOff>
    </xdr:from>
    <xdr:to>
      <xdr:col>12</xdr:col>
      <xdr:colOff>479422</xdr:colOff>
      <xdr:row>27</xdr:row>
      <xdr:rowOff>109788</xdr:rowOff>
    </xdr:to>
    <xdr:sp macro="" textlink="$C$27">
      <xdr:nvSpPr>
        <xdr:cNvPr id="26" name="Retângulo Arredondado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8276976" y="5379560"/>
          <a:ext cx="2775196" cy="340453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EBD57A-8884-4F1F-AD3B-723C82E818F7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R$ 10.395,81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109290</xdr:colOff>
      <xdr:row>10</xdr:row>
      <xdr:rowOff>176910</xdr:rowOff>
    </xdr:from>
    <xdr:to>
      <xdr:col>8</xdr:col>
      <xdr:colOff>114127</xdr:colOff>
      <xdr:row>12</xdr:row>
      <xdr:rowOff>14483</xdr:rowOff>
    </xdr:to>
    <xdr:sp macro="" textlink="">
      <xdr:nvSpPr>
        <xdr:cNvPr id="27" name="Retângulo Arredondado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5805240" y="2224785"/>
          <a:ext cx="2443237" cy="237623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COM ICMS</a:t>
          </a:r>
        </a:p>
      </xdr:txBody>
    </xdr:sp>
    <xdr:clientData/>
  </xdr:twoCellAnchor>
  <xdr:twoCellAnchor editAs="absolute">
    <xdr:from>
      <xdr:col>8</xdr:col>
      <xdr:colOff>137865</xdr:colOff>
      <xdr:row>14</xdr:row>
      <xdr:rowOff>115130</xdr:rowOff>
    </xdr:from>
    <xdr:to>
      <xdr:col>12</xdr:col>
      <xdr:colOff>469097</xdr:colOff>
      <xdr:row>15</xdr:row>
      <xdr:rowOff>124656</xdr:rowOff>
    </xdr:to>
    <xdr:sp macro="" textlink="$C$17">
      <xdr:nvSpPr>
        <xdr:cNvPr id="28" name="Retângulo Arredondado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8272215" y="2991680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01D36CE-9F60-422B-93A2-130EE06A4815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137865</xdr:colOff>
      <xdr:row>15</xdr:row>
      <xdr:rowOff>154289</xdr:rowOff>
    </xdr:from>
    <xdr:to>
      <xdr:col>12</xdr:col>
      <xdr:colOff>469097</xdr:colOff>
      <xdr:row>16</xdr:row>
      <xdr:rowOff>133735</xdr:rowOff>
    </xdr:to>
    <xdr:sp macro="" textlink="$C$18">
      <xdr:nvSpPr>
        <xdr:cNvPr id="29" name="Retângulo Arredondado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8272215" y="3230864"/>
          <a:ext cx="2769632" cy="2080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13F3EA9-87A6-4790-8643-1542287A5DF1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137865</xdr:colOff>
      <xdr:row>16</xdr:row>
      <xdr:rowOff>162310</xdr:rowOff>
    </xdr:from>
    <xdr:to>
      <xdr:col>12</xdr:col>
      <xdr:colOff>469097</xdr:colOff>
      <xdr:row>17</xdr:row>
      <xdr:rowOff>170163</xdr:rowOff>
    </xdr:to>
    <xdr:sp macro="" textlink="$C$19">
      <xdr:nvSpPr>
        <xdr:cNvPr id="30" name="Retângulo Arredondado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8272215" y="3467485"/>
          <a:ext cx="2769632" cy="20787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BEABA3-FC7B-461B-9D82-E3E034261AB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18</xdr:row>
      <xdr:rowOff>7737</xdr:rowOff>
    </xdr:from>
    <xdr:to>
      <xdr:col>12</xdr:col>
      <xdr:colOff>459572</xdr:colOff>
      <xdr:row>19</xdr:row>
      <xdr:rowOff>17263</xdr:rowOff>
    </xdr:to>
    <xdr:sp macro="" textlink="$C$20">
      <xdr:nvSpPr>
        <xdr:cNvPr id="31" name="Retângulo Arredondado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8262690" y="3712962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9193055-AA7B-4052-852A-F2CB4D6DCFD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19</xdr:row>
      <xdr:rowOff>45838</xdr:rowOff>
    </xdr:from>
    <xdr:to>
      <xdr:col>12</xdr:col>
      <xdr:colOff>459572</xdr:colOff>
      <xdr:row>20</xdr:row>
      <xdr:rowOff>55363</xdr:rowOff>
    </xdr:to>
    <xdr:sp macro="" textlink="$C$21">
      <xdr:nvSpPr>
        <xdr:cNvPr id="32" name="Retângulo Arredondad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262690" y="3951088"/>
          <a:ext cx="2769632" cy="2095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C7958A-EE64-4F0C-86D7-7012573C033D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20</xdr:row>
      <xdr:rowOff>83380</xdr:rowOff>
    </xdr:from>
    <xdr:to>
      <xdr:col>12</xdr:col>
      <xdr:colOff>459572</xdr:colOff>
      <xdr:row>21</xdr:row>
      <xdr:rowOff>92905</xdr:rowOff>
    </xdr:to>
    <xdr:sp macro="" textlink="$C$22">
      <xdr:nvSpPr>
        <xdr:cNvPr id="33" name="Retângulo Arredondado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262690" y="4188655"/>
          <a:ext cx="2769632" cy="2095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44894BC-5935-4E51-A28D-F54E90545E5B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21</xdr:row>
      <xdr:rowOff>122538</xdr:rowOff>
    </xdr:from>
    <xdr:to>
      <xdr:col>12</xdr:col>
      <xdr:colOff>459572</xdr:colOff>
      <xdr:row>22</xdr:row>
      <xdr:rowOff>132065</xdr:rowOff>
    </xdr:to>
    <xdr:sp macro="" textlink="$C$23">
      <xdr:nvSpPr>
        <xdr:cNvPr id="34" name="Retângulo Arredondado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8262690" y="4427838"/>
          <a:ext cx="2769632" cy="20955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5FE557-6353-4BB0-AF34-DDA85AC15A0F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22</xdr:row>
      <xdr:rowOff>160640</xdr:rowOff>
    </xdr:from>
    <xdr:to>
      <xdr:col>12</xdr:col>
      <xdr:colOff>459572</xdr:colOff>
      <xdr:row>23</xdr:row>
      <xdr:rowOff>170163</xdr:rowOff>
    </xdr:to>
    <xdr:sp macro="" textlink="$C$24">
      <xdr:nvSpPr>
        <xdr:cNvPr id="35" name="Retângulo Arredondado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262690" y="4665965"/>
          <a:ext cx="2769632" cy="2095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53FDD0-91CD-46D9-821D-D5F209A9B773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24</xdr:row>
      <xdr:rowOff>7737</xdr:rowOff>
    </xdr:from>
    <xdr:to>
      <xdr:col>12</xdr:col>
      <xdr:colOff>459572</xdr:colOff>
      <xdr:row>25</xdr:row>
      <xdr:rowOff>6679</xdr:rowOff>
    </xdr:to>
    <xdr:sp macro="" textlink="$C$25">
      <xdr:nvSpPr>
        <xdr:cNvPr id="36" name="Retângulo Arredondado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8262690" y="4913112"/>
          <a:ext cx="2769632" cy="19896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8F42ED-C77A-401D-84C9-24435B224F7E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147390</xdr:colOff>
      <xdr:row>10</xdr:row>
      <xdr:rowOff>177411</xdr:rowOff>
    </xdr:from>
    <xdr:to>
      <xdr:col>12</xdr:col>
      <xdr:colOff>478622</xdr:colOff>
      <xdr:row>12</xdr:row>
      <xdr:rowOff>14984</xdr:rowOff>
    </xdr:to>
    <xdr:sp macro="" textlink="$C$12">
      <xdr:nvSpPr>
        <xdr:cNvPr id="37" name="Retângulo Arredondado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8281740" y="2225286"/>
          <a:ext cx="2769632" cy="237623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A51031-6DFC-4CAB-86FA-C096EF17A356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R$ 10.395,81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109290</xdr:colOff>
      <xdr:row>9</xdr:row>
      <xdr:rowOff>111349</xdr:rowOff>
    </xdr:from>
    <xdr:to>
      <xdr:col>8</xdr:col>
      <xdr:colOff>114127</xdr:colOff>
      <xdr:row>10</xdr:row>
      <xdr:rowOff>156745</xdr:rowOff>
    </xdr:to>
    <xdr:sp macro="" textlink="">
      <xdr:nvSpPr>
        <xdr:cNvPr id="38" name="Retângulo Arredondado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5805240" y="1959199"/>
          <a:ext cx="2443237" cy="245421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AD VALOREM</a:t>
          </a:r>
        </a:p>
      </xdr:txBody>
    </xdr:sp>
    <xdr:clientData/>
  </xdr:twoCellAnchor>
  <xdr:twoCellAnchor editAs="absolute">
    <xdr:from>
      <xdr:col>8</xdr:col>
      <xdr:colOff>147390</xdr:colOff>
      <xdr:row>9</xdr:row>
      <xdr:rowOff>111850</xdr:rowOff>
    </xdr:from>
    <xdr:to>
      <xdr:col>12</xdr:col>
      <xdr:colOff>478622</xdr:colOff>
      <xdr:row>10</xdr:row>
      <xdr:rowOff>159475</xdr:rowOff>
    </xdr:to>
    <xdr:sp macro="" textlink="$C$15">
      <xdr:nvSpPr>
        <xdr:cNvPr id="39" name="Retângulo Arredondado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8281740" y="1959700"/>
          <a:ext cx="2769632" cy="24765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D2299C6-8C30-4E1B-A9EF-95BBABAFCEF8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106536</xdr:colOff>
      <xdr:row>7</xdr:row>
      <xdr:rowOff>26683</xdr:rowOff>
    </xdr:from>
    <xdr:to>
      <xdr:col>8</xdr:col>
      <xdr:colOff>116136</xdr:colOff>
      <xdr:row>8</xdr:row>
      <xdr:rowOff>44229</xdr:rowOff>
    </xdr:to>
    <xdr:sp macro="" textlink="">
      <xdr:nvSpPr>
        <xdr:cNvPr id="40" name="Retângulo Arredondado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02486" y="1445908"/>
          <a:ext cx="2448000" cy="246146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VALOR DA CARGA</a:t>
          </a:r>
        </a:p>
      </xdr:txBody>
    </xdr:sp>
    <xdr:clientData/>
  </xdr:twoCellAnchor>
  <xdr:twoCellAnchor editAs="absolute">
    <xdr:from>
      <xdr:col>8</xdr:col>
      <xdr:colOff>154161</xdr:colOff>
      <xdr:row>7</xdr:row>
      <xdr:rowOff>36208</xdr:rowOff>
    </xdr:from>
    <xdr:to>
      <xdr:col>12</xdr:col>
      <xdr:colOff>493299</xdr:colOff>
      <xdr:row>8</xdr:row>
      <xdr:rowOff>53754</xdr:rowOff>
    </xdr:to>
    <xdr:sp macro="" textlink="$C$14">
      <xdr:nvSpPr>
        <xdr:cNvPr id="41" name="Retângulo Arredondado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8288511" y="1455433"/>
          <a:ext cx="2777538" cy="2461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DD76CC-FAF3-4F0C-BDBA-A54D31EBFF12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99765</xdr:colOff>
      <xdr:row>1</xdr:row>
      <xdr:rowOff>4011</xdr:rowOff>
    </xdr:from>
    <xdr:to>
      <xdr:col>12</xdr:col>
      <xdr:colOff>498923</xdr:colOff>
      <xdr:row>1</xdr:row>
      <xdr:rowOff>239183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795715" y="118311"/>
          <a:ext cx="5275958" cy="235172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baseline="0"/>
            <a:t>CÁLCULO DE FRETE POR TONELADA</a:t>
          </a:r>
          <a:endParaRPr lang="pt-BR" sz="1400" b="1"/>
        </a:p>
      </xdr:txBody>
    </xdr:sp>
    <xdr:clientData/>
  </xdr:twoCellAnchor>
  <xdr:twoCellAnchor editAs="absolute">
    <xdr:from>
      <xdr:col>4</xdr:col>
      <xdr:colOff>104527</xdr:colOff>
      <xdr:row>1</xdr:row>
      <xdr:rowOff>258234</xdr:rowOff>
    </xdr:from>
    <xdr:to>
      <xdr:col>12</xdr:col>
      <xdr:colOff>503685</xdr:colOff>
      <xdr:row>2</xdr:row>
      <xdr:rowOff>195792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800477" y="372534"/>
          <a:ext cx="5275958" cy="213783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PARAMETRIZAÇÃO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104527</xdr:colOff>
      <xdr:row>3</xdr:row>
      <xdr:rowOff>14315</xdr:rowOff>
    </xdr:from>
    <xdr:to>
      <xdr:col>8</xdr:col>
      <xdr:colOff>114127</xdr:colOff>
      <xdr:row>4</xdr:row>
      <xdr:rowOff>40217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800477" y="604865"/>
          <a:ext cx="2448000" cy="254502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ROTA</a:t>
          </a:r>
        </a:p>
      </xdr:txBody>
    </xdr:sp>
    <xdr:clientData/>
  </xdr:twoCellAnchor>
  <xdr:twoCellAnchor editAs="absolute">
    <xdr:from>
      <xdr:col>4</xdr:col>
      <xdr:colOff>104527</xdr:colOff>
      <xdr:row>4</xdr:row>
      <xdr:rowOff>68792</xdr:rowOff>
    </xdr:from>
    <xdr:to>
      <xdr:col>8</xdr:col>
      <xdr:colOff>114127</xdr:colOff>
      <xdr:row>5</xdr:row>
      <xdr:rowOff>116417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800477" y="887942"/>
          <a:ext cx="2448000" cy="2476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TIPO DE CARGA</a:t>
          </a:r>
        </a:p>
      </xdr:txBody>
    </xdr:sp>
    <xdr:clientData/>
  </xdr:twoCellAnchor>
  <xdr:twoCellAnchor editAs="absolute">
    <xdr:from>
      <xdr:col>4</xdr:col>
      <xdr:colOff>104527</xdr:colOff>
      <xdr:row>5</xdr:row>
      <xdr:rowOff>155018</xdr:rowOff>
    </xdr:from>
    <xdr:to>
      <xdr:col>8</xdr:col>
      <xdr:colOff>114127</xdr:colOff>
      <xdr:row>7</xdr:row>
      <xdr:rowOff>2116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800477" y="1174193"/>
          <a:ext cx="2448000" cy="247148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DESCONTO</a:t>
          </a:r>
        </a:p>
      </xdr:txBody>
    </xdr:sp>
    <xdr:clientData/>
  </xdr:twoCellAnchor>
  <xdr:twoCellAnchor editAs="absolute">
    <xdr:from>
      <xdr:col>4</xdr:col>
      <xdr:colOff>90240</xdr:colOff>
      <xdr:row>9</xdr:row>
      <xdr:rowOff>198965</xdr:rowOff>
    </xdr:from>
    <xdr:to>
      <xdr:col>12</xdr:col>
      <xdr:colOff>489398</xdr:colOff>
      <xdr:row>10</xdr:row>
      <xdr:rowOff>178409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786190" y="2018240"/>
          <a:ext cx="5275958" cy="208044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DESCRIÇÃO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99765</xdr:colOff>
      <xdr:row>16</xdr:row>
      <xdr:rowOff>14364</xdr:rowOff>
    </xdr:from>
    <xdr:to>
      <xdr:col>8</xdr:col>
      <xdr:colOff>104602</xdr:colOff>
      <xdr:row>17</xdr:row>
      <xdr:rowOff>23890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5795715" y="3290964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PESAGEM</a:t>
          </a:r>
        </a:p>
      </xdr:txBody>
    </xdr:sp>
    <xdr:clientData/>
  </xdr:twoCellAnchor>
  <xdr:twoCellAnchor editAs="absolute">
    <xdr:from>
      <xdr:col>4</xdr:col>
      <xdr:colOff>99765</xdr:colOff>
      <xdr:row>17</xdr:row>
      <xdr:rowOff>53523</xdr:rowOff>
    </xdr:from>
    <xdr:to>
      <xdr:col>8</xdr:col>
      <xdr:colOff>104602</xdr:colOff>
      <xdr:row>18</xdr:row>
      <xdr:rowOff>63049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795715" y="3530148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COLETA / ENTREGA</a:t>
          </a:r>
        </a:p>
      </xdr:txBody>
    </xdr:sp>
    <xdr:clientData/>
  </xdr:twoCellAnchor>
  <xdr:twoCellAnchor editAs="absolute">
    <xdr:from>
      <xdr:col>4</xdr:col>
      <xdr:colOff>99765</xdr:colOff>
      <xdr:row>18</xdr:row>
      <xdr:rowOff>91624</xdr:rowOff>
    </xdr:from>
    <xdr:to>
      <xdr:col>8</xdr:col>
      <xdr:colOff>104602</xdr:colOff>
      <xdr:row>19</xdr:row>
      <xdr:rowOff>99476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795715" y="3768274"/>
          <a:ext cx="2443237" cy="207877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 ORIGEM</a:t>
          </a:r>
        </a:p>
      </xdr:txBody>
    </xdr:sp>
    <xdr:clientData/>
  </xdr:twoCellAnchor>
  <xdr:twoCellAnchor editAs="absolute">
    <xdr:from>
      <xdr:col>8</xdr:col>
      <xdr:colOff>152152</xdr:colOff>
      <xdr:row>3</xdr:row>
      <xdr:rowOff>23840</xdr:rowOff>
    </xdr:from>
    <xdr:to>
      <xdr:col>12</xdr:col>
      <xdr:colOff>491290</xdr:colOff>
      <xdr:row>4</xdr:row>
      <xdr:rowOff>49742</xdr:rowOff>
    </xdr:to>
    <xdr:sp macro="" textlink="$C$5">
      <xdr:nvSpPr>
        <xdr:cNvPr id="11" name="Retângulo Arredondado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8286502" y="614390"/>
          <a:ext cx="2777538" cy="25450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763D62-AB32-41A2-8554-21024FAAA7BD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STM - ITB - STM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152152</xdr:colOff>
      <xdr:row>4</xdr:row>
      <xdr:rowOff>78317</xdr:rowOff>
    </xdr:from>
    <xdr:to>
      <xdr:col>12</xdr:col>
      <xdr:colOff>491290</xdr:colOff>
      <xdr:row>5</xdr:row>
      <xdr:rowOff>125942</xdr:rowOff>
    </xdr:to>
    <xdr:sp macro="" textlink="$C$6">
      <xdr:nvSpPr>
        <xdr:cNvPr id="12" name="Retângulo Arredondado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8286502" y="897467"/>
          <a:ext cx="2777538" cy="2476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CD49B42-D92E-4A25-A8A3-A50119900280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FRETE POR TONELADA - VOLTA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152152</xdr:colOff>
      <xdr:row>5</xdr:row>
      <xdr:rowOff>164543</xdr:rowOff>
    </xdr:from>
    <xdr:to>
      <xdr:col>12</xdr:col>
      <xdr:colOff>491290</xdr:colOff>
      <xdr:row>7</xdr:row>
      <xdr:rowOff>11641</xdr:rowOff>
    </xdr:to>
    <xdr:sp macro="" textlink="$C$7">
      <xdr:nvSpPr>
        <xdr:cNvPr id="13" name="Retângulo Arredondado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8286502" y="1183718"/>
          <a:ext cx="2777538" cy="2471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5AB8FAB-9D96-4519-8379-3CF2EEFE31B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0%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90240</xdr:colOff>
      <xdr:row>19</xdr:row>
      <xdr:rowOff>137576</xdr:rowOff>
    </xdr:from>
    <xdr:to>
      <xdr:col>8</xdr:col>
      <xdr:colOff>95077</xdr:colOff>
      <xdr:row>20</xdr:row>
      <xdr:rowOff>147102</xdr:rowOff>
    </xdr:to>
    <xdr:sp macro="" textlink="">
      <xdr:nvSpPr>
        <xdr:cNvPr id="14" name="Retângulo Arredondado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5786190" y="4014251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TRANSBORDO DESTINO</a:t>
          </a:r>
        </a:p>
      </xdr:txBody>
    </xdr:sp>
    <xdr:clientData/>
  </xdr:twoCellAnchor>
  <xdr:twoCellAnchor editAs="absolute">
    <xdr:from>
      <xdr:col>4</xdr:col>
      <xdr:colOff>90240</xdr:colOff>
      <xdr:row>20</xdr:row>
      <xdr:rowOff>175677</xdr:rowOff>
    </xdr:from>
    <xdr:to>
      <xdr:col>8</xdr:col>
      <xdr:colOff>95077</xdr:colOff>
      <xdr:row>21</xdr:row>
      <xdr:rowOff>185203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5786190" y="4252377"/>
          <a:ext cx="2443237" cy="209551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OUTROS</a:t>
          </a:r>
        </a:p>
      </xdr:txBody>
    </xdr:sp>
    <xdr:clientData/>
  </xdr:twoCellAnchor>
  <xdr:twoCellAnchor editAs="absolute">
    <xdr:from>
      <xdr:col>4</xdr:col>
      <xdr:colOff>95002</xdr:colOff>
      <xdr:row>22</xdr:row>
      <xdr:rowOff>24725</xdr:rowOff>
    </xdr:from>
    <xdr:to>
      <xdr:col>12</xdr:col>
      <xdr:colOff>494160</xdr:colOff>
      <xdr:row>22</xdr:row>
      <xdr:rowOff>224193</xdr:rowOff>
    </xdr:to>
    <xdr:sp macro="" textlink="">
      <xdr:nvSpPr>
        <xdr:cNvPr id="16" name="Retângulo Arredondado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5790952" y="4501475"/>
          <a:ext cx="5275958" cy="199468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baseline="0">
              <a:solidFill>
                <a:schemeClr val="bg1"/>
              </a:solidFill>
            </a:rPr>
            <a:t>TOTAL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105029</xdr:colOff>
      <xdr:row>13</xdr:row>
      <xdr:rowOff>132455</xdr:rowOff>
    </xdr:from>
    <xdr:to>
      <xdr:col>8</xdr:col>
      <xdr:colOff>114629</xdr:colOff>
      <xdr:row>14</xdr:row>
      <xdr:rowOff>149889</xdr:rowOff>
    </xdr:to>
    <xdr:sp macro="" textlink="">
      <xdr:nvSpPr>
        <xdr:cNvPr id="17" name="Retângulo Arredondad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800979" y="2780405"/>
          <a:ext cx="2448000" cy="217459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SEM ICMS</a:t>
          </a:r>
        </a:p>
      </xdr:txBody>
    </xdr:sp>
    <xdr:clientData/>
  </xdr:twoCellAnchor>
  <xdr:twoCellAnchor editAs="absolute">
    <xdr:from>
      <xdr:col>4</xdr:col>
      <xdr:colOff>105029</xdr:colOff>
      <xdr:row>14</xdr:row>
      <xdr:rowOff>178464</xdr:rowOff>
    </xdr:from>
    <xdr:to>
      <xdr:col>8</xdr:col>
      <xdr:colOff>114629</xdr:colOff>
      <xdr:row>15</xdr:row>
      <xdr:rowOff>196457</xdr:rowOff>
    </xdr:to>
    <xdr:sp macro="" textlink="">
      <xdr:nvSpPr>
        <xdr:cNvPr id="18" name="Retângulo Arredondado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5800979" y="3026439"/>
          <a:ext cx="2448000" cy="218018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ICMS</a:t>
          </a:r>
        </a:p>
      </xdr:txBody>
    </xdr:sp>
    <xdr:clientData/>
  </xdr:twoCellAnchor>
  <xdr:twoCellAnchor editAs="absolute">
    <xdr:from>
      <xdr:col>4</xdr:col>
      <xdr:colOff>95002</xdr:colOff>
      <xdr:row>22</xdr:row>
      <xdr:rowOff>245082</xdr:rowOff>
    </xdr:from>
    <xdr:to>
      <xdr:col>8</xdr:col>
      <xdr:colOff>104602</xdr:colOff>
      <xdr:row>24</xdr:row>
      <xdr:rowOff>80208</xdr:rowOff>
    </xdr:to>
    <xdr:sp macro="" textlink="">
      <xdr:nvSpPr>
        <xdr:cNvPr id="19" name="Retângulo Arredondado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5790952" y="4721832"/>
          <a:ext cx="2448000" cy="339951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TOTAL FRETE</a:t>
          </a:r>
        </a:p>
      </xdr:txBody>
    </xdr:sp>
    <xdr:clientData/>
  </xdr:twoCellAnchor>
  <xdr:twoCellAnchor editAs="absolute">
    <xdr:from>
      <xdr:col>8</xdr:col>
      <xdr:colOff>152653</xdr:colOff>
      <xdr:row>13</xdr:row>
      <xdr:rowOff>131396</xdr:rowOff>
    </xdr:from>
    <xdr:to>
      <xdr:col>12</xdr:col>
      <xdr:colOff>489449</xdr:colOff>
      <xdr:row>14</xdr:row>
      <xdr:rowOff>149388</xdr:rowOff>
    </xdr:to>
    <xdr:sp macro="" textlink="$C$13">
      <xdr:nvSpPr>
        <xdr:cNvPr id="20" name="Retângulo Arredondado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8287003" y="2779346"/>
          <a:ext cx="2775196" cy="21801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3DAC9A0-1852-4A78-9E2C-87FB5321488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R$ 5.374,57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152653</xdr:colOff>
      <xdr:row>14</xdr:row>
      <xdr:rowOff>177963</xdr:rowOff>
    </xdr:from>
    <xdr:to>
      <xdr:col>12</xdr:col>
      <xdr:colOff>489449</xdr:colOff>
      <xdr:row>15</xdr:row>
      <xdr:rowOff>195956</xdr:rowOff>
    </xdr:to>
    <xdr:sp macro="" textlink="$C$12">
      <xdr:nvSpPr>
        <xdr:cNvPr id="21" name="Retângulo Arredondado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8287003" y="3025938"/>
          <a:ext cx="2775196" cy="218018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601CB10-DF42-4189-AE04-41933F42A38F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19%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142626</xdr:colOff>
      <xdr:row>22</xdr:row>
      <xdr:rowOff>254607</xdr:rowOff>
    </xdr:from>
    <xdr:to>
      <xdr:col>12</xdr:col>
      <xdr:colOff>479422</xdr:colOff>
      <xdr:row>24</xdr:row>
      <xdr:rowOff>89733</xdr:rowOff>
    </xdr:to>
    <xdr:sp macro="" textlink="$C$23">
      <xdr:nvSpPr>
        <xdr:cNvPr id="22" name="Retângulo Arredondado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8276976" y="4731357"/>
          <a:ext cx="2775196" cy="339951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AEBD57A-8884-4F1F-AD3B-723C82E818F7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R$ 6.635,27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109290</xdr:colOff>
      <xdr:row>12</xdr:row>
      <xdr:rowOff>66620</xdr:rowOff>
    </xdr:from>
    <xdr:to>
      <xdr:col>8</xdr:col>
      <xdr:colOff>114127</xdr:colOff>
      <xdr:row>13</xdr:row>
      <xdr:rowOff>104718</xdr:rowOff>
    </xdr:to>
    <xdr:sp macro="" textlink="">
      <xdr:nvSpPr>
        <xdr:cNvPr id="23" name="Retângulo Arredondado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5805240" y="2514545"/>
          <a:ext cx="2443237" cy="238123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VALOR DO FRETE COM ICMS</a:t>
          </a:r>
        </a:p>
      </xdr:txBody>
    </xdr:sp>
    <xdr:clientData/>
  </xdr:twoCellAnchor>
  <xdr:twoCellAnchor editAs="absolute">
    <xdr:from>
      <xdr:col>8</xdr:col>
      <xdr:colOff>137865</xdr:colOff>
      <xdr:row>16</xdr:row>
      <xdr:rowOff>4839</xdr:rowOff>
    </xdr:from>
    <xdr:to>
      <xdr:col>12</xdr:col>
      <xdr:colOff>469097</xdr:colOff>
      <xdr:row>17</xdr:row>
      <xdr:rowOff>14365</xdr:rowOff>
    </xdr:to>
    <xdr:sp macro="" textlink="$C$17">
      <xdr:nvSpPr>
        <xdr:cNvPr id="24" name="Retângulo Arredondado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8272215" y="3281439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BACB87C-2EBD-42E4-8317-F7754D0250AA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137865</xdr:colOff>
      <xdr:row>17</xdr:row>
      <xdr:rowOff>43998</xdr:rowOff>
    </xdr:from>
    <xdr:to>
      <xdr:col>12</xdr:col>
      <xdr:colOff>469097</xdr:colOff>
      <xdr:row>18</xdr:row>
      <xdr:rowOff>53524</xdr:rowOff>
    </xdr:to>
    <xdr:sp macro="" textlink="$C$18">
      <xdr:nvSpPr>
        <xdr:cNvPr id="25" name="Retângulo Arredondado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8272215" y="3520623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320E215-82D6-4DE9-8A8B-D37D690DCE4F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137865</xdr:colOff>
      <xdr:row>18</xdr:row>
      <xdr:rowOff>82099</xdr:rowOff>
    </xdr:from>
    <xdr:to>
      <xdr:col>12</xdr:col>
      <xdr:colOff>469097</xdr:colOff>
      <xdr:row>19</xdr:row>
      <xdr:rowOff>89951</xdr:rowOff>
    </xdr:to>
    <xdr:sp macro="" textlink="$C$19">
      <xdr:nvSpPr>
        <xdr:cNvPr id="26" name="Retângulo Arredondado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8272215" y="3758749"/>
          <a:ext cx="2769632" cy="20787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32CDD83-22F3-4927-812C-8C427C76DD00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19</xdr:row>
      <xdr:rowOff>128051</xdr:rowOff>
    </xdr:from>
    <xdr:to>
      <xdr:col>12</xdr:col>
      <xdr:colOff>459572</xdr:colOff>
      <xdr:row>20</xdr:row>
      <xdr:rowOff>137577</xdr:rowOff>
    </xdr:to>
    <xdr:sp macro="" textlink="$C$20">
      <xdr:nvSpPr>
        <xdr:cNvPr id="27" name="Retângulo Arredondado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8262690" y="4004726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BE1E6E6-3A7D-4006-8399-E033EF6D9DBA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128340</xdr:colOff>
      <xdr:row>20</xdr:row>
      <xdr:rowOff>166152</xdr:rowOff>
    </xdr:from>
    <xdr:to>
      <xdr:col>12</xdr:col>
      <xdr:colOff>459572</xdr:colOff>
      <xdr:row>21</xdr:row>
      <xdr:rowOff>175678</xdr:rowOff>
    </xdr:to>
    <xdr:sp macro="" textlink="$C$21">
      <xdr:nvSpPr>
        <xdr:cNvPr id="28" name="Retângulo Arredondad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8262690" y="4242852"/>
          <a:ext cx="2769632" cy="2095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34217A6-1C27-428A-9F62-2ED5A478B750}" type="TxLink">
            <a:rPr lang="en-US" sz="1100" b="0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R$ 0,00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8</xdr:col>
      <xdr:colOff>147390</xdr:colOff>
      <xdr:row>12</xdr:row>
      <xdr:rowOff>67121</xdr:rowOff>
    </xdr:from>
    <xdr:to>
      <xdr:col>12</xdr:col>
      <xdr:colOff>478622</xdr:colOff>
      <xdr:row>13</xdr:row>
      <xdr:rowOff>105219</xdr:rowOff>
    </xdr:to>
    <xdr:sp macro="" textlink="$C$14">
      <xdr:nvSpPr>
        <xdr:cNvPr id="29" name="Retângulo Arredondado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8281740" y="2515046"/>
          <a:ext cx="2769632" cy="238123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A51031-6DFC-4CAB-86FA-C096EF17A356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R$ 6.635,27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109290</xdr:colOff>
      <xdr:row>11</xdr:row>
      <xdr:rowOff>1058</xdr:rowOff>
    </xdr:from>
    <xdr:to>
      <xdr:col>8</xdr:col>
      <xdr:colOff>114127</xdr:colOff>
      <xdr:row>12</xdr:row>
      <xdr:rowOff>46455</xdr:rowOff>
    </xdr:to>
    <xdr:sp macro="" textlink="">
      <xdr:nvSpPr>
        <xdr:cNvPr id="30" name="Retângulo Arredondado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5805240" y="2248958"/>
          <a:ext cx="2443237" cy="245422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</a:rPr>
            <a:t>AD VALOREM</a:t>
          </a:r>
        </a:p>
      </xdr:txBody>
    </xdr:sp>
    <xdr:clientData/>
  </xdr:twoCellAnchor>
  <xdr:twoCellAnchor editAs="absolute">
    <xdr:from>
      <xdr:col>8</xdr:col>
      <xdr:colOff>147390</xdr:colOff>
      <xdr:row>11</xdr:row>
      <xdr:rowOff>1559</xdr:rowOff>
    </xdr:from>
    <xdr:to>
      <xdr:col>12</xdr:col>
      <xdr:colOff>478622</xdr:colOff>
      <xdr:row>12</xdr:row>
      <xdr:rowOff>49185</xdr:rowOff>
    </xdr:to>
    <xdr:sp macro="" textlink="$C$15">
      <xdr:nvSpPr>
        <xdr:cNvPr id="31" name="Retângulo Arredondado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8281740" y="2249459"/>
          <a:ext cx="2769632" cy="247651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848851-7D41-4A71-BAB4-6D7503903F5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R$ 1.234,57</a:t>
          </a:fld>
          <a:endParaRPr lang="pt-BR" sz="1100" b="1" baseline="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106536</xdr:colOff>
      <xdr:row>7</xdr:row>
      <xdr:rowOff>26683</xdr:rowOff>
    </xdr:from>
    <xdr:to>
      <xdr:col>8</xdr:col>
      <xdr:colOff>116136</xdr:colOff>
      <xdr:row>8</xdr:row>
      <xdr:rowOff>74308</xdr:rowOff>
    </xdr:to>
    <xdr:sp macro="" textlink="">
      <xdr:nvSpPr>
        <xdr:cNvPr id="32" name="Retângulo Arredondado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5802486" y="1445908"/>
          <a:ext cx="2448000" cy="2476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VALOR DA CARGA</a:t>
          </a:r>
        </a:p>
      </xdr:txBody>
    </xdr:sp>
    <xdr:clientData/>
  </xdr:twoCellAnchor>
  <xdr:twoCellAnchor editAs="absolute">
    <xdr:from>
      <xdr:col>8</xdr:col>
      <xdr:colOff>154161</xdr:colOff>
      <xdr:row>7</xdr:row>
      <xdr:rowOff>36208</xdr:rowOff>
    </xdr:from>
    <xdr:to>
      <xdr:col>12</xdr:col>
      <xdr:colOff>493299</xdr:colOff>
      <xdr:row>8</xdr:row>
      <xdr:rowOff>83833</xdr:rowOff>
    </xdr:to>
    <xdr:sp macro="" textlink="$C$8">
      <xdr:nvSpPr>
        <xdr:cNvPr id="33" name="Retângulo Arredondado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8288511" y="1455433"/>
          <a:ext cx="2777538" cy="2476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481BED3-ED46-4327-A45D-5E7E9E722D33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R$ 500.000,00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97512</xdr:colOff>
      <xdr:row>8</xdr:row>
      <xdr:rowOff>112407</xdr:rowOff>
    </xdr:from>
    <xdr:to>
      <xdr:col>8</xdr:col>
      <xdr:colOff>107112</xdr:colOff>
      <xdr:row>9</xdr:row>
      <xdr:rowOff>160032</xdr:rowOff>
    </xdr:to>
    <xdr:sp macro="" textlink="">
      <xdr:nvSpPr>
        <xdr:cNvPr id="34" name="Retângulo Arredondado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5793462" y="1731657"/>
          <a:ext cx="2448000" cy="2476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tx2">
                  <a:lumMod val="50000"/>
                </a:schemeClr>
              </a:solidFill>
            </a:rPr>
            <a:t>PESO DA CARGA</a:t>
          </a:r>
        </a:p>
      </xdr:txBody>
    </xdr:sp>
    <xdr:clientData/>
  </xdr:twoCellAnchor>
  <xdr:twoCellAnchor editAs="absolute">
    <xdr:from>
      <xdr:col>8</xdr:col>
      <xdr:colOff>145137</xdr:colOff>
      <xdr:row>8</xdr:row>
      <xdr:rowOff>111906</xdr:rowOff>
    </xdr:from>
    <xdr:to>
      <xdr:col>12</xdr:col>
      <xdr:colOff>484275</xdr:colOff>
      <xdr:row>9</xdr:row>
      <xdr:rowOff>159531</xdr:rowOff>
    </xdr:to>
    <xdr:sp macro="" textlink="$C$9">
      <xdr:nvSpPr>
        <xdr:cNvPr id="35" name="Retângulo Arredondado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8279487" y="1731156"/>
          <a:ext cx="2777538" cy="2476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7B29515-7FAC-48BD-B5D0-0C7C7434D989}" type="TxLink">
            <a:rPr lang="en-US" sz="1100" b="1" i="0" u="none" strike="noStrike" baseline="0">
              <a:solidFill>
                <a:schemeClr val="tx2">
                  <a:lumMod val="50000"/>
                </a:schemeClr>
              </a:solidFill>
              <a:latin typeface="Calibri"/>
              <a:cs typeface="Calibri"/>
            </a:rPr>
            <a:pPr algn="ctr"/>
            <a:t>20 TON</a:t>
          </a:fld>
          <a:endParaRPr lang="en-US" sz="1100" b="1" i="0" u="none" strike="noStrike" baseline="0">
            <a:solidFill>
              <a:schemeClr val="tx2">
                <a:lumMod val="50000"/>
              </a:schemeClr>
            </a:solidFill>
            <a:latin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3:F44" totalsRowShown="0" headerRowDxfId="26" dataDxfId="25" headerRowCellStyle="Moeda">
  <autoFilter ref="A3:F44" xr:uid="{00000000-0009-0000-0100-000001000000}"/>
  <tableColumns count="6">
    <tableColumn id="1" xr3:uid="{00000000-0010-0000-0000-000001000000}" name="ITEM" dataDxfId="24"/>
    <tableColumn id="2" xr3:uid="{00000000-0010-0000-0000-000002000000}" name="BLM - MCP" dataDxfId="23" dataCellStyle="Moeda"/>
    <tableColumn id="5" xr3:uid="{00000000-0010-0000-0000-000005000000}" name="BLM - ALT" dataDxfId="22" dataCellStyle="Moeda"/>
    <tableColumn id="8" xr3:uid="{00000000-0010-0000-0000-000008000000}" name="BLM - ITB" dataDxfId="21" dataCellStyle="Moeda"/>
    <tableColumn id="11" xr3:uid="{00000000-0010-0000-0000-00000B000000}" name="BLM - STM" dataDxfId="20" dataCellStyle="Moeda"/>
    <tableColumn id="14" xr3:uid="{00000000-0010-0000-0000-00000E000000}" name="STM - ITB" dataDxfId="19" dataCellStyle="Mo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14" displayName="Tabela14" ref="A3:F5" totalsRowShown="0" headerRowDxfId="18" dataDxfId="17" headerRowCellStyle="Moeda">
  <autoFilter ref="A3:F5" xr:uid="{00000000-0009-0000-0100-000003000000}"/>
  <tableColumns count="6">
    <tableColumn id="1" xr3:uid="{00000000-0010-0000-0100-000001000000}" name="ITEM" dataDxfId="16"/>
    <tableColumn id="2" xr3:uid="{00000000-0010-0000-0100-000002000000}" name="BLM - MCP" dataDxfId="15" dataCellStyle="Moeda">
      <calculatedColumnFormula>O6+(O6*12%)</calculatedColumnFormula>
    </tableColumn>
    <tableColumn id="5" xr3:uid="{00000000-0010-0000-0100-000005000000}" name="BLM - ALT" dataDxfId="14" dataCellStyle="Moeda">
      <calculatedColumnFormula>P6+(P6*12%)</calculatedColumnFormula>
    </tableColumn>
    <tableColumn id="8" xr3:uid="{00000000-0010-0000-0100-000008000000}" name="BLM - ITB" dataDxfId="13" dataCellStyle="Moeda">
      <calculatedColumnFormula>Q6+(Q6*12%)</calculatedColumnFormula>
    </tableColumn>
    <tableColumn id="11" xr3:uid="{00000000-0010-0000-0100-00000B000000}" name="BLM - STM" dataDxfId="12" dataCellStyle="Moeda">
      <calculatedColumnFormula>R6+(R6*12%)</calculatedColumnFormula>
    </tableColumn>
    <tableColumn id="14" xr3:uid="{00000000-0010-0000-0100-00000E000000}" name="STM - ITB" dataDxfId="11" dataCellStyle="Moeda">
      <calculatedColumnFormula>S6+(S6*12%)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2C22D-66B4-42EE-B0EC-FA42D92A7540}" name="Tabela145" displayName="Tabela145" ref="H3:M5" totalsRowShown="0" headerRowDxfId="10" dataDxfId="9" headerRowCellStyle="Moeda">
  <autoFilter ref="H3:M5" xr:uid="{AEA4D212-D339-406D-92A0-29134388D57A}"/>
  <tableColumns count="6">
    <tableColumn id="1" xr3:uid="{304BC4B4-6F15-416B-B4FD-01B62164E50D}" name="ITEM" dataDxfId="8"/>
    <tableColumn id="2" xr3:uid="{3AC22AC2-703A-4F56-940F-78D5DA14B102}" name="BLM - MCP" dataDxfId="7" dataCellStyle="Moeda"/>
    <tableColumn id="5" xr3:uid="{C01D46EF-95CB-4F3A-A9F4-7AB794055725}" name="BLM - ALT" dataDxfId="6" dataCellStyle="Moeda"/>
    <tableColumn id="8" xr3:uid="{75F3EA30-FE3B-4EE6-8DA6-92AC2FDC276B}" name="BLM - ITB" dataDxfId="5" dataCellStyle="Moeda"/>
    <tableColumn id="11" xr3:uid="{1168B039-F507-4EBE-9442-01A9DF68B5BC}" name="BLM - STM" dataDxfId="4" dataCellStyle="Moeda"/>
    <tableColumn id="14" xr3:uid="{C5A7B7C6-BA8A-4B56-90E4-DA82CC6D9246}" name="STM - ITB" dataDxfId="3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28" workbookViewId="0">
      <selection activeCell="D30" sqref="D30"/>
    </sheetView>
  </sheetViews>
  <sheetFormatPr defaultColWidth="9.1796875" defaultRowHeight="14.5" x14ac:dyDescent="0.35"/>
  <cols>
    <col min="1" max="1" width="12.1796875" style="6" customWidth="1"/>
    <col min="2" max="2" width="39.81640625" style="6" bestFit="1" customWidth="1"/>
    <col min="3" max="3" width="23" style="6" customWidth="1"/>
    <col min="4" max="4" width="18" style="6" customWidth="1"/>
    <col min="5" max="5" width="32" style="6" customWidth="1"/>
    <col min="6" max="16384" width="9.1796875" style="6"/>
  </cols>
  <sheetData>
    <row r="1" spans="1:5" x14ac:dyDescent="0.35">
      <c r="A1" s="14" t="s">
        <v>51</v>
      </c>
      <c r="B1" s="14" t="s">
        <v>50</v>
      </c>
      <c r="C1" s="14" t="s">
        <v>49</v>
      </c>
      <c r="D1" s="14" t="s">
        <v>85</v>
      </c>
      <c r="E1" s="14" t="s">
        <v>90</v>
      </c>
    </row>
    <row r="2" spans="1:5" x14ac:dyDescent="0.35">
      <c r="A2" s="13">
        <v>0</v>
      </c>
      <c r="B2" s="6" t="s">
        <v>24</v>
      </c>
      <c r="C2" s="6" t="s">
        <v>79</v>
      </c>
      <c r="D2" s="6" t="s">
        <v>86</v>
      </c>
      <c r="E2" s="6" t="s">
        <v>35</v>
      </c>
    </row>
    <row r="3" spans="1:5" x14ac:dyDescent="0.35">
      <c r="A3" s="13">
        <v>0.05</v>
      </c>
      <c r="B3" s="6" t="s">
        <v>26</v>
      </c>
      <c r="C3" s="6" t="s">
        <v>80</v>
      </c>
      <c r="D3" s="6" t="s">
        <v>87</v>
      </c>
      <c r="E3" s="6" t="s">
        <v>89</v>
      </c>
    </row>
    <row r="4" spans="1:5" x14ac:dyDescent="0.35">
      <c r="A4" s="13">
        <v>7.0000000000000007E-2</v>
      </c>
      <c r="B4" s="6" t="s">
        <v>25</v>
      </c>
      <c r="C4" s="6" t="s">
        <v>78</v>
      </c>
      <c r="D4" s="6" t="s">
        <v>88</v>
      </c>
    </row>
    <row r="5" spans="1:5" x14ac:dyDescent="0.35">
      <c r="A5" s="13">
        <v>0.1</v>
      </c>
      <c r="B5" s="6" t="s">
        <v>21</v>
      </c>
      <c r="C5" s="6" t="s">
        <v>81</v>
      </c>
    </row>
    <row r="6" spans="1:5" x14ac:dyDescent="0.35">
      <c r="A6" s="13">
        <v>0.15</v>
      </c>
      <c r="B6" s="6" t="s">
        <v>23</v>
      </c>
      <c r="C6" s="6" t="s">
        <v>82</v>
      </c>
    </row>
    <row r="7" spans="1:5" x14ac:dyDescent="0.35">
      <c r="A7" s="13">
        <v>0.2</v>
      </c>
      <c r="B7" s="6" t="s">
        <v>22</v>
      </c>
    </row>
    <row r="8" spans="1:5" x14ac:dyDescent="0.35">
      <c r="B8" s="6" t="s">
        <v>6</v>
      </c>
    </row>
    <row r="9" spans="1:5" x14ac:dyDescent="0.35">
      <c r="B9" s="6" t="s">
        <v>8</v>
      </c>
    </row>
    <row r="10" spans="1:5" x14ac:dyDescent="0.35">
      <c r="B10" s="6" t="s">
        <v>7</v>
      </c>
    </row>
    <row r="11" spans="1:5" x14ac:dyDescent="0.35">
      <c r="B11" s="6" t="s">
        <v>3</v>
      </c>
    </row>
    <row r="12" spans="1:5" x14ac:dyDescent="0.35">
      <c r="B12" s="6" t="s">
        <v>5</v>
      </c>
    </row>
    <row r="13" spans="1:5" x14ac:dyDescent="0.35">
      <c r="B13" s="6" t="s">
        <v>4</v>
      </c>
    </row>
    <row r="14" spans="1:5" x14ac:dyDescent="0.35">
      <c r="B14" s="6" t="s">
        <v>0</v>
      </c>
    </row>
    <row r="15" spans="1:5" x14ac:dyDescent="0.35">
      <c r="B15" s="6" t="s">
        <v>2</v>
      </c>
    </row>
    <row r="16" spans="1:5" x14ac:dyDescent="0.35">
      <c r="B16" s="6" t="s">
        <v>1</v>
      </c>
    </row>
    <row r="17" spans="2:2" x14ac:dyDescent="0.35">
      <c r="B17" s="6" t="s">
        <v>12</v>
      </c>
    </row>
    <row r="18" spans="2:2" x14ac:dyDescent="0.35">
      <c r="B18" s="6" t="s">
        <v>14</v>
      </c>
    </row>
    <row r="19" spans="2:2" x14ac:dyDescent="0.35">
      <c r="B19" s="6" t="s">
        <v>13</v>
      </c>
    </row>
    <row r="20" spans="2:2" x14ac:dyDescent="0.35">
      <c r="B20" s="6" t="s">
        <v>30</v>
      </c>
    </row>
    <row r="21" spans="2:2" x14ac:dyDescent="0.35">
      <c r="B21" s="6" t="s">
        <v>31</v>
      </c>
    </row>
    <row r="22" spans="2:2" x14ac:dyDescent="0.35">
      <c r="B22" s="6" t="s">
        <v>32</v>
      </c>
    </row>
    <row r="23" spans="2:2" x14ac:dyDescent="0.35">
      <c r="B23" s="6" t="s">
        <v>45</v>
      </c>
    </row>
    <row r="24" spans="2:2" x14ac:dyDescent="0.35">
      <c r="B24" s="6" t="s">
        <v>46</v>
      </c>
    </row>
    <row r="25" spans="2:2" x14ac:dyDescent="0.35">
      <c r="B25" s="6" t="s">
        <v>43</v>
      </c>
    </row>
    <row r="26" spans="2:2" x14ac:dyDescent="0.35">
      <c r="B26" s="6" t="s">
        <v>44</v>
      </c>
    </row>
    <row r="27" spans="2:2" x14ac:dyDescent="0.35">
      <c r="B27" s="6" t="s">
        <v>9</v>
      </c>
    </row>
    <row r="28" spans="2:2" x14ac:dyDescent="0.35">
      <c r="B28" s="6" t="s">
        <v>11</v>
      </c>
    </row>
    <row r="29" spans="2:2" x14ac:dyDescent="0.35">
      <c r="B29" s="6" t="s">
        <v>10</v>
      </c>
    </row>
    <row r="30" spans="2:2" x14ac:dyDescent="0.35">
      <c r="B30" s="6" t="s">
        <v>33</v>
      </c>
    </row>
    <row r="31" spans="2:2" x14ac:dyDescent="0.35">
      <c r="B31" s="6" t="s">
        <v>34</v>
      </c>
    </row>
    <row r="32" spans="2:2" x14ac:dyDescent="0.35">
      <c r="B32" s="6" t="s">
        <v>17</v>
      </c>
    </row>
    <row r="33" spans="2:2" x14ac:dyDescent="0.35">
      <c r="B33" s="6" t="s">
        <v>18</v>
      </c>
    </row>
    <row r="34" spans="2:2" x14ac:dyDescent="0.35">
      <c r="B34" s="6" t="s">
        <v>36</v>
      </c>
    </row>
    <row r="35" spans="2:2" x14ac:dyDescent="0.35">
      <c r="B35" s="6" t="s">
        <v>37</v>
      </c>
    </row>
    <row r="36" spans="2:2" x14ac:dyDescent="0.35">
      <c r="B36" s="6" t="s">
        <v>19</v>
      </c>
    </row>
    <row r="37" spans="2:2" x14ac:dyDescent="0.35">
      <c r="B37" s="6" t="s">
        <v>20</v>
      </c>
    </row>
    <row r="38" spans="2:2" x14ac:dyDescent="0.35">
      <c r="B38" s="6" t="s">
        <v>15</v>
      </c>
    </row>
    <row r="39" spans="2:2" x14ac:dyDescent="0.35">
      <c r="B39" s="6" t="s">
        <v>16</v>
      </c>
    </row>
    <row r="40" spans="2:2" x14ac:dyDescent="0.35">
      <c r="B40" s="6" t="s">
        <v>27</v>
      </c>
    </row>
    <row r="41" spans="2:2" x14ac:dyDescent="0.35">
      <c r="B41" s="6" t="s">
        <v>29</v>
      </c>
    </row>
    <row r="42" spans="2:2" x14ac:dyDescent="0.35">
      <c r="B42" s="6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4D84-634A-4771-82FE-B90A0681EC4E}">
  <dimension ref="A1:F11"/>
  <sheetViews>
    <sheetView workbookViewId="0">
      <selection activeCell="B24" sqref="B24"/>
    </sheetView>
  </sheetViews>
  <sheetFormatPr defaultColWidth="9.1796875" defaultRowHeight="14.5" x14ac:dyDescent="0.35"/>
  <cols>
    <col min="1" max="1" width="20.81640625" style="6" bestFit="1" customWidth="1"/>
    <col min="2" max="6" width="22.453125" style="19" customWidth="1"/>
    <col min="7" max="16384" width="9.1796875" style="6"/>
  </cols>
  <sheetData>
    <row r="1" spans="1:6" x14ac:dyDescent="0.35">
      <c r="B1" s="19" t="s">
        <v>38</v>
      </c>
      <c r="C1" s="19" t="s">
        <v>39</v>
      </c>
      <c r="D1" s="19" t="s">
        <v>40</v>
      </c>
      <c r="E1" s="19" t="s">
        <v>41</v>
      </c>
      <c r="F1" s="19" t="s">
        <v>42</v>
      </c>
    </row>
    <row r="2" spans="1:6" x14ac:dyDescent="0.35">
      <c r="B2" s="19" t="s">
        <v>68</v>
      </c>
      <c r="C2" s="19" t="s">
        <v>69</v>
      </c>
      <c r="D2" s="19" t="s">
        <v>70</v>
      </c>
      <c r="E2" s="19" t="s">
        <v>71</v>
      </c>
      <c r="F2" s="19" t="s">
        <v>72</v>
      </c>
    </row>
    <row r="3" spans="1:6" x14ac:dyDescent="0.35">
      <c r="A3" s="6" t="s">
        <v>54</v>
      </c>
      <c r="B3" s="19">
        <v>798</v>
      </c>
      <c r="C3" s="19">
        <v>798</v>
      </c>
      <c r="D3" s="19">
        <v>798</v>
      </c>
      <c r="E3" s="19">
        <v>798</v>
      </c>
      <c r="F3" s="19">
        <v>798</v>
      </c>
    </row>
    <row r="4" spans="1:6" x14ac:dyDescent="0.35">
      <c r="A4" s="6" t="s">
        <v>53</v>
      </c>
      <c r="B4" s="19">
        <v>80</v>
      </c>
      <c r="C4" s="19">
        <v>80</v>
      </c>
      <c r="D4" s="19">
        <v>80</v>
      </c>
      <c r="E4" s="19">
        <v>80</v>
      </c>
      <c r="F4" s="19">
        <v>80</v>
      </c>
    </row>
    <row r="5" spans="1:6" x14ac:dyDescent="0.35">
      <c r="A5" s="6" t="s">
        <v>55</v>
      </c>
      <c r="B5" s="19">
        <f>500+(500*0.2)</f>
        <v>600</v>
      </c>
      <c r="C5" s="19">
        <v>0</v>
      </c>
      <c r="D5" s="62">
        <v>0</v>
      </c>
      <c r="E5" s="19">
        <v>700</v>
      </c>
      <c r="F5" s="62">
        <v>0</v>
      </c>
    </row>
    <row r="6" spans="1:6" x14ac:dyDescent="0.35">
      <c r="A6" s="6" t="s">
        <v>56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</row>
    <row r="7" spans="1:6" x14ac:dyDescent="0.35">
      <c r="A7" s="6" t="s">
        <v>57</v>
      </c>
      <c r="B7" s="19">
        <f>700+(700*0.2)</f>
        <v>840</v>
      </c>
      <c r="C7" s="19">
        <f t="shared" ref="C7:F8" si="0">700+(700*0.2)</f>
        <v>840</v>
      </c>
      <c r="D7" s="19">
        <f t="shared" si="0"/>
        <v>840</v>
      </c>
      <c r="E7" s="19">
        <f t="shared" si="0"/>
        <v>840</v>
      </c>
      <c r="F7" s="19">
        <f t="shared" si="0"/>
        <v>840</v>
      </c>
    </row>
    <row r="8" spans="1:6" x14ac:dyDescent="0.35">
      <c r="A8" s="6" t="s">
        <v>58</v>
      </c>
      <c r="B8" s="19">
        <f>700+(700*0.2)</f>
        <v>840</v>
      </c>
      <c r="C8" s="19">
        <f t="shared" si="0"/>
        <v>840</v>
      </c>
      <c r="D8" s="19">
        <f t="shared" si="0"/>
        <v>840</v>
      </c>
      <c r="E8" s="19">
        <f t="shared" si="0"/>
        <v>840</v>
      </c>
      <c r="F8" s="19">
        <f t="shared" si="0"/>
        <v>840</v>
      </c>
    </row>
    <row r="9" spans="1:6" x14ac:dyDescent="0.35">
      <c r="A9" s="6" t="s">
        <v>59</v>
      </c>
      <c r="B9" s="19">
        <v>250</v>
      </c>
      <c r="C9" s="19">
        <v>250</v>
      </c>
      <c r="D9" s="19">
        <v>250</v>
      </c>
      <c r="E9" s="19">
        <v>250</v>
      </c>
      <c r="F9" s="19">
        <v>250</v>
      </c>
    </row>
    <row r="10" spans="1:6" x14ac:dyDescent="0.35">
      <c r="A10" s="6" t="s">
        <v>60</v>
      </c>
      <c r="B10" s="19">
        <v>17.100000000000001</v>
      </c>
      <c r="C10" s="19">
        <v>17.100000000000001</v>
      </c>
      <c r="D10" s="19">
        <v>17.100000000000001</v>
      </c>
      <c r="E10" s="19">
        <v>17.100000000000001</v>
      </c>
      <c r="F10" s="19">
        <v>17.100000000000001</v>
      </c>
    </row>
    <row r="11" spans="1:6" x14ac:dyDescent="0.35">
      <c r="A11" s="6" t="s">
        <v>61</v>
      </c>
      <c r="B11" s="19">
        <v>600</v>
      </c>
      <c r="C11" s="19">
        <v>600</v>
      </c>
      <c r="D11" s="19">
        <v>600</v>
      </c>
      <c r="E11" s="19">
        <v>600</v>
      </c>
      <c r="F11" s="19">
        <v>600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28"/>
  <sheetViews>
    <sheetView showGridLines="0" topLeftCell="A10" zoomScale="80" zoomScaleNormal="80" workbookViewId="0">
      <selection activeCell="O27" sqref="O27"/>
    </sheetView>
  </sheetViews>
  <sheetFormatPr defaultColWidth="9.1796875" defaultRowHeight="15.75" customHeight="1" x14ac:dyDescent="0.35"/>
  <cols>
    <col min="1" max="1" width="3.453125" style="9" customWidth="1"/>
    <col min="2" max="2" width="27.81640625" style="9" customWidth="1"/>
    <col min="3" max="3" width="50.453125" style="11" customWidth="1"/>
    <col min="4" max="4" width="3.7265625" style="9" customWidth="1"/>
    <col min="5" max="6" width="9.1796875" style="9"/>
    <col min="7" max="7" width="9.1796875" style="9" customWidth="1"/>
    <col min="8" max="11" width="9.1796875" style="9"/>
    <col min="12" max="13" width="9.1796875" style="9" customWidth="1"/>
    <col min="14" max="14" width="9.1796875" style="9"/>
    <col min="15" max="15" width="16" style="9" bestFit="1" customWidth="1"/>
    <col min="16" max="16" width="12.453125" style="9" bestFit="1" customWidth="1"/>
    <col min="17" max="16384" width="9.1796875" style="9"/>
  </cols>
  <sheetData>
    <row r="1" spans="2:17" ht="12" customHeight="1" x14ac:dyDescent="0.35"/>
    <row r="2" spans="2:17" ht="21.75" customHeight="1" thickBot="1" x14ac:dyDescent="0.4">
      <c r="B2" s="73" t="s">
        <v>74</v>
      </c>
      <c r="C2" s="73"/>
    </row>
    <row r="3" spans="2:17" ht="18" customHeight="1" thickBot="1" x14ac:dyDescent="0.4">
      <c r="B3" s="72" t="s">
        <v>75</v>
      </c>
      <c r="C3" s="72"/>
      <c r="P3" s="10"/>
    </row>
    <row r="4" spans="2:17" ht="15.75" customHeight="1" thickBot="1" x14ac:dyDescent="0.4">
      <c r="B4" s="12" t="s">
        <v>49</v>
      </c>
      <c r="C4" s="55" t="s">
        <v>79</v>
      </c>
    </row>
    <row r="5" spans="2:17" ht="15.75" customHeight="1" thickBot="1" x14ac:dyDescent="0.4">
      <c r="B5" s="12" t="s">
        <v>50</v>
      </c>
      <c r="C5" s="55" t="s">
        <v>6</v>
      </c>
    </row>
    <row r="6" spans="2:17" ht="15.75" customHeight="1" thickBot="1" x14ac:dyDescent="0.4">
      <c r="B6" s="12" t="s">
        <v>85</v>
      </c>
      <c r="C6" s="56" t="s">
        <v>87</v>
      </c>
    </row>
    <row r="7" spans="2:17" ht="15.75" customHeight="1" thickBot="1" x14ac:dyDescent="0.4">
      <c r="B7" s="12" t="s">
        <v>51</v>
      </c>
      <c r="C7" s="56">
        <v>0</v>
      </c>
      <c r="Q7" s="24"/>
    </row>
    <row r="8" spans="2:17" ht="18" customHeight="1" thickBot="1" x14ac:dyDescent="0.4">
      <c r="B8" s="72" t="s">
        <v>76</v>
      </c>
      <c r="C8" s="72"/>
    </row>
    <row r="9" spans="2:17" ht="15.75" customHeight="1" thickBot="1" x14ac:dyDescent="0.4">
      <c r="B9" s="12" t="s">
        <v>63</v>
      </c>
      <c r="C9" s="33">
        <f>IF(C4="BLM - ALT - BLM",VLOOKUP(C5,Tabela1[],3,0),IF(C4="BLM - ITB - BLM",VLOOKUP(C5,Tabela1[],4,0),IF(C4="BLM - MCP - BLM",VLOOKUP(C5,Tabela1[],2,0),IF(C4="BLM - STM - BLM",VLOOKUP(C5,Tabela1[],5,0),IF(C4="STM - ITB - STM",VLOOKUP(C5,Tabela1[],6,0),0)))))</f>
        <v>7306.22</v>
      </c>
      <c r="Q9" s="23"/>
    </row>
    <row r="10" spans="2:17" ht="15.75" customHeight="1" thickBot="1" x14ac:dyDescent="0.4">
      <c r="B10" s="12" t="s">
        <v>64</v>
      </c>
      <c r="C10" s="26">
        <f>IF(C4&lt;&gt;"BLM - MCP - BLM",19%,12%)</f>
        <v>0.19</v>
      </c>
    </row>
    <row r="11" spans="2:17" ht="15.75" customHeight="1" thickBot="1" x14ac:dyDescent="0.4">
      <c r="B11" s="12" t="s">
        <v>65</v>
      </c>
      <c r="C11" s="33">
        <f>C9-(C9*C10)</f>
        <v>5918.0382</v>
      </c>
    </row>
    <row r="12" spans="2:17" ht="15.75" customHeight="1" thickBot="1" x14ac:dyDescent="0.4">
      <c r="B12" s="12" t="s">
        <v>66</v>
      </c>
      <c r="C12" s="33">
        <f>IF(C7=10%,C9*(1-10%),IF(C7=5%,C9*(1-5%),IF(C7=7%,C9*(1-7%),IF(C7=15%,C9*(1-15%),IF(C7=20%,C9*(1-20%),IF(C7=0%,C9,"SELECIONE O VALOR"))))))</f>
        <v>7306.22</v>
      </c>
    </row>
    <row r="13" spans="2:17" ht="18" customHeight="1" thickBot="1" x14ac:dyDescent="0.4">
      <c r="B13" s="70" t="s">
        <v>67</v>
      </c>
      <c r="C13" s="71"/>
    </row>
    <row r="14" spans="2:17" ht="15.75" customHeight="1" thickBot="1" x14ac:dyDescent="0.4">
      <c r="B14" s="12" t="s">
        <v>52</v>
      </c>
      <c r="C14" s="57">
        <v>68800</v>
      </c>
      <c r="O14" s="27"/>
      <c r="P14" s="28"/>
    </row>
    <row r="15" spans="2:17" ht="15.75" customHeight="1" thickBot="1" x14ac:dyDescent="0.4">
      <c r="B15" s="12" t="s">
        <v>62</v>
      </c>
      <c r="C15" s="33">
        <f>IF(C6&lt;&gt;"IDA E VOLTA",(IF(C4&lt;&gt;"BLM - MCP - BLM",(C14*0.2%/0.81),(C14*0.2%/0.88))),((IF(C4&lt;&gt;"BLM - MCP - BLM",(C14*0.2%/0.81),(C14*0.2%/0.88)))*2))</f>
        <v>169.87654320987653</v>
      </c>
      <c r="O15" s="27"/>
      <c r="P15" s="28"/>
    </row>
    <row r="16" spans="2:17" ht="18" customHeight="1" thickBot="1" x14ac:dyDescent="0.4">
      <c r="B16" s="70" t="s">
        <v>73</v>
      </c>
      <c r="C16" s="71"/>
      <c r="O16" s="27"/>
      <c r="P16" s="28"/>
    </row>
    <row r="17" spans="2:16" ht="15.75" customHeight="1" thickBot="1" x14ac:dyDescent="0.4">
      <c r="B17" s="12" t="s">
        <v>54</v>
      </c>
      <c r="C17" s="57">
        <v>0</v>
      </c>
      <c r="O17" s="27"/>
      <c r="P17" s="28"/>
    </row>
    <row r="18" spans="2:16" ht="15.75" customHeight="1" thickBot="1" x14ac:dyDescent="0.4">
      <c r="B18" s="12" t="s">
        <v>53</v>
      </c>
      <c r="C18" s="57">
        <v>0</v>
      </c>
      <c r="O18" s="27"/>
      <c r="P18" s="28"/>
    </row>
    <row r="19" spans="2:16" ht="15.75" customHeight="1" thickBot="1" x14ac:dyDescent="0.4">
      <c r="B19" s="12" t="s">
        <v>55</v>
      </c>
      <c r="C19" s="57">
        <v>0</v>
      </c>
    </row>
    <row r="20" spans="2:16" ht="15.75" customHeight="1" thickBot="1" x14ac:dyDescent="0.4">
      <c r="B20" s="12" t="s">
        <v>56</v>
      </c>
      <c r="C20" s="57">
        <v>0</v>
      </c>
    </row>
    <row r="21" spans="2:16" ht="15.75" customHeight="1" thickBot="1" x14ac:dyDescent="0.4">
      <c r="B21" s="12" t="s">
        <v>57</v>
      </c>
      <c r="C21" s="57">
        <v>0</v>
      </c>
    </row>
    <row r="22" spans="2:16" ht="15.75" customHeight="1" thickBot="1" x14ac:dyDescent="0.4">
      <c r="B22" s="12" t="s">
        <v>58</v>
      </c>
      <c r="C22" s="57">
        <v>0</v>
      </c>
    </row>
    <row r="23" spans="2:16" ht="15.75" customHeight="1" thickBot="1" x14ac:dyDescent="0.4">
      <c r="B23" s="12" t="s">
        <v>59</v>
      </c>
      <c r="C23" s="57">
        <v>0</v>
      </c>
    </row>
    <row r="24" spans="2:16" ht="15.75" customHeight="1" thickBot="1" x14ac:dyDescent="0.4">
      <c r="B24" s="12" t="s">
        <v>60</v>
      </c>
      <c r="C24" s="57">
        <v>0</v>
      </c>
    </row>
    <row r="25" spans="2:16" ht="15.75" customHeight="1" thickBot="1" x14ac:dyDescent="0.4">
      <c r="B25" s="12" t="s">
        <v>61</v>
      </c>
      <c r="C25" s="57">
        <v>0</v>
      </c>
    </row>
    <row r="26" spans="2:16" ht="15.75" customHeight="1" thickBot="1" x14ac:dyDescent="0.4">
      <c r="B26" s="54" t="s">
        <v>96</v>
      </c>
      <c r="C26" s="57">
        <v>0</v>
      </c>
    </row>
    <row r="27" spans="2:16" ht="15.75" customHeight="1" thickBot="1" x14ac:dyDescent="0.4">
      <c r="B27" s="70" t="s">
        <v>83</v>
      </c>
      <c r="C27" s="71"/>
    </row>
    <row r="28" spans="2:16" ht="24" customHeight="1" thickBot="1" x14ac:dyDescent="0.4">
      <c r="B28" s="32" t="s">
        <v>84</v>
      </c>
      <c r="C28" s="35">
        <f>C12+(C15+C17+C18+C19+C20+C21+C22+C23+C24+C25+C26)</f>
        <v>7476.0965432098765</v>
      </c>
    </row>
  </sheetData>
  <sheetProtection autoFilter="0"/>
  <mergeCells count="6">
    <mergeCell ref="B16:C16"/>
    <mergeCell ref="B27:C27"/>
    <mergeCell ref="B3:C3"/>
    <mergeCell ref="B2:C2"/>
    <mergeCell ref="B8:C8"/>
    <mergeCell ref="B13:C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LISTAS!$C$2:$C$6</xm:f>
          </x14:formula1>
          <xm:sqref>C4</xm:sqref>
        </x14:dataValidation>
        <x14:dataValidation type="list" allowBlank="1" showInputMessage="1" showErrorMessage="1" xr:uid="{00000000-0002-0000-0300-000001000000}">
          <x14:formula1>
            <xm:f>LISTAS!$A$2:$A$7</xm:f>
          </x14:formula1>
          <xm:sqref>C7</xm:sqref>
        </x14:dataValidation>
        <x14:dataValidation type="list" allowBlank="1" showInputMessage="1" showErrorMessage="1" xr:uid="{00000000-0002-0000-0300-000002000000}">
          <x14:formula1>
            <xm:f>LISTAS!$D$2:$D$4</xm:f>
          </x14:formula1>
          <xm:sqref>C6</xm:sqref>
        </x14:dataValidation>
        <x14:dataValidation type="list" allowBlank="1" showInputMessage="1" showErrorMessage="1" xr:uid="{00000000-0002-0000-0300-000003000000}">
          <x14:formula1>
            <xm:f>LISTAS!$B$2:$B$42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3"/>
  <sheetViews>
    <sheetView showGridLines="0" zoomScale="85" zoomScaleNormal="85" workbookViewId="0">
      <selection activeCell="C9" sqref="C9"/>
    </sheetView>
  </sheetViews>
  <sheetFormatPr defaultColWidth="9.1796875" defaultRowHeight="15.75" customHeight="1" x14ac:dyDescent="0.35"/>
  <cols>
    <col min="1" max="1" width="3.453125" style="9" customWidth="1"/>
    <col min="2" max="2" width="27.81640625" style="9" customWidth="1"/>
    <col min="3" max="3" width="50.453125" style="11" customWidth="1"/>
    <col min="4" max="4" width="3.7265625" style="9" customWidth="1"/>
    <col min="5" max="13" width="9.1796875" style="9"/>
    <col min="14" max="14" width="5.1796875" style="9" customWidth="1"/>
    <col min="15" max="15" width="16" style="9" bestFit="1" customWidth="1"/>
    <col min="16" max="16" width="14.81640625" style="10" customWidth="1"/>
    <col min="17" max="18" width="12.1796875" style="9" bestFit="1" customWidth="1"/>
    <col min="19" max="16384" width="9.1796875" style="9"/>
  </cols>
  <sheetData>
    <row r="1" spans="2:18" ht="15" customHeight="1" x14ac:dyDescent="0.35"/>
    <row r="2" spans="2:18" ht="21.75" customHeight="1" thickBot="1" x14ac:dyDescent="0.4">
      <c r="B2" s="79" t="s">
        <v>92</v>
      </c>
      <c r="C2" s="79"/>
      <c r="O2" s="77" t="s">
        <v>97</v>
      </c>
      <c r="P2" s="77"/>
    </row>
    <row r="3" spans="2:18" ht="15.75" customHeight="1" thickBot="1" x14ac:dyDescent="0.4">
      <c r="B3" s="76" t="str">
        <f>IF(AND(C5=O4,P10&lt;P4),O14,IF(AND(C5=O5,P10&lt;P5),O14,IF(AND(C5=O6,P10&lt;P6),O14,IF(AND(C5=O7,P10&lt;P7),O14,IF(AND(C5=O8,P10&lt;P8),O14,O13)))))</f>
        <v>BASEADO NO VALOR MÍNIMO DO FRETE</v>
      </c>
      <c r="C3" s="76"/>
      <c r="O3" s="48" t="s">
        <v>98</v>
      </c>
      <c r="P3" s="50" t="s">
        <v>99</v>
      </c>
    </row>
    <row r="4" spans="2:18" ht="18" customHeight="1" thickBot="1" x14ac:dyDescent="0.4">
      <c r="B4" s="80" t="s">
        <v>75</v>
      </c>
      <c r="C4" s="80"/>
      <c r="O4" s="8" t="s">
        <v>79</v>
      </c>
      <c r="P4" s="63">
        <f>Q4+(Q4*12%)</f>
        <v>6269.0655999999999</v>
      </c>
      <c r="Q4" s="64">
        <v>5597.38</v>
      </c>
    </row>
    <row r="5" spans="2:18" ht="15.75" customHeight="1" thickBot="1" x14ac:dyDescent="0.4">
      <c r="B5" s="41" t="s">
        <v>49</v>
      </c>
      <c r="C5" s="58" t="s">
        <v>82</v>
      </c>
      <c r="O5" s="8" t="s">
        <v>80</v>
      </c>
      <c r="P5" s="63">
        <f t="shared" ref="P5:P7" si="0">Q5+(Q5*12%)</f>
        <v>6635.2720000000008</v>
      </c>
      <c r="Q5" s="64">
        <v>5924.35</v>
      </c>
    </row>
    <row r="6" spans="2:18" ht="15.75" customHeight="1" thickBot="1" x14ac:dyDescent="0.4">
      <c r="B6" s="41" t="s">
        <v>50</v>
      </c>
      <c r="C6" s="58" t="s">
        <v>35</v>
      </c>
      <c r="O6" s="8" t="s">
        <v>78</v>
      </c>
      <c r="P6" s="63">
        <f t="shared" si="0"/>
        <v>5471.6368000000002</v>
      </c>
      <c r="Q6" s="64">
        <v>4885.3900000000003</v>
      </c>
    </row>
    <row r="7" spans="2:18" ht="15.75" customHeight="1" thickBot="1" x14ac:dyDescent="0.4">
      <c r="B7" s="41" t="s">
        <v>51</v>
      </c>
      <c r="C7" s="59">
        <v>0</v>
      </c>
      <c r="O7" s="8" t="s">
        <v>81</v>
      </c>
      <c r="P7" s="63">
        <f t="shared" si="0"/>
        <v>5909.9935999999998</v>
      </c>
      <c r="Q7" s="65">
        <v>5276.78</v>
      </c>
    </row>
    <row r="8" spans="2:18" ht="15.75" customHeight="1" thickBot="1" x14ac:dyDescent="0.4">
      <c r="B8" s="41" t="s">
        <v>52</v>
      </c>
      <c r="C8" s="60">
        <v>0</v>
      </c>
      <c r="O8" s="8" t="s">
        <v>82</v>
      </c>
      <c r="P8" s="63">
        <f>R8+(R8*13.75%)</f>
        <v>8453.3339800000012</v>
      </c>
      <c r="Q8" s="65">
        <v>6635.27</v>
      </c>
      <c r="R8" s="66">
        <f>Q8+(Q8*12%)</f>
        <v>7431.5024000000003</v>
      </c>
    </row>
    <row r="9" spans="2:18" ht="15.75" customHeight="1" thickBot="1" x14ac:dyDescent="0.4">
      <c r="B9" s="41" t="s">
        <v>91</v>
      </c>
      <c r="C9" s="61">
        <v>1</v>
      </c>
      <c r="P9" s="51"/>
      <c r="Q9" s="24"/>
    </row>
    <row r="10" spans="2:18" ht="18" customHeight="1" thickBot="1" x14ac:dyDescent="0.4">
      <c r="B10" s="80" t="s">
        <v>76</v>
      </c>
      <c r="C10" s="80"/>
      <c r="O10" s="52" t="s">
        <v>100</v>
      </c>
      <c r="P10" s="53">
        <f>(IF(C5="BLM - ALT - BLM",VLOOKUP(C6,Tabela14[],3,0),IF(C5="BLM - ITB - BLM",VLOOKUP(C6,Tabela14[],4,0),IF(C5="BLM - MCP - BLM",VLOOKUP(C6,Tabela14[],2,0),IF(C5="BLM - STM - BLM",VLOOKUP(C6,Tabela14[],5,0),IF(C5="STM - ITB - STM",VLOOKUP(C6,Tabela14[],6,0),0))))))*C9</f>
        <v>285.47000000000003</v>
      </c>
    </row>
    <row r="11" spans="2:18" ht="15.75" customHeight="1" thickBot="1" x14ac:dyDescent="0.4">
      <c r="B11" s="42" t="s">
        <v>63</v>
      </c>
      <c r="C11" s="44">
        <f>IF(AND(C5=O4,P10&lt;P4),P4,IF(AND(C5=O5,P10&lt;P5),P5,IF(AND(C5=O6,P10&lt;P6),P6,IF(AND(C5=O7,P10&lt;P7),P7,IF(AND(C5=O8,P10&lt;P8),P8,P10)))))</f>
        <v>8453.3339800000012</v>
      </c>
      <c r="Q11" s="23"/>
    </row>
    <row r="12" spans="2:18" ht="15.75" customHeight="1" thickBot="1" x14ac:dyDescent="0.4">
      <c r="B12" s="42" t="s">
        <v>64</v>
      </c>
      <c r="C12" s="45">
        <f>IF(C5&lt;&gt;"BLM - MCP - BLM",19%,13%)</f>
        <v>0.19</v>
      </c>
    </row>
    <row r="13" spans="2:18" ht="15.75" customHeight="1" thickBot="1" x14ac:dyDescent="0.4">
      <c r="B13" s="42" t="s">
        <v>65</v>
      </c>
      <c r="C13" s="44">
        <f>C11-(C11*C12)</f>
        <v>6847.2005238000011</v>
      </c>
      <c r="O13" s="78" t="s">
        <v>101</v>
      </c>
      <c r="P13" s="78"/>
      <c r="Q13" s="6"/>
    </row>
    <row r="14" spans="2:18" ht="15.75" customHeight="1" thickBot="1" x14ac:dyDescent="0.4">
      <c r="B14" s="43" t="s">
        <v>66</v>
      </c>
      <c r="C14" s="46">
        <f>IF(C7=10%,C11*(1-10%),IF(C7=5%,C11*(1-5%),IF(C7=7%,C11*(1-7%),IF(C7=15%,C11*(1-15%),IF(C7=20%,C11*(1-20%),IF(C7=0%,C11,"SELECIONE O VALOR"))))))</f>
        <v>8453.3339800000012</v>
      </c>
      <c r="O14" s="78" t="s">
        <v>102</v>
      </c>
      <c r="P14" s="78"/>
      <c r="Q14" s="6"/>
    </row>
    <row r="15" spans="2:18" ht="15.75" customHeight="1" thickBot="1" x14ac:dyDescent="0.4">
      <c r="B15" s="42" t="s">
        <v>62</v>
      </c>
      <c r="C15" s="44">
        <f>IF(C5&lt;&gt;"BLM - MCP - BLM",(C8*0.2%/0.81),(C8*0.2%/0.88))</f>
        <v>0</v>
      </c>
    </row>
    <row r="16" spans="2:18" ht="18" customHeight="1" thickBot="1" x14ac:dyDescent="0.4">
      <c r="B16" s="74" t="s">
        <v>73</v>
      </c>
      <c r="C16" s="75"/>
    </row>
    <row r="17" spans="2:15" ht="15.75" customHeight="1" thickBot="1" x14ac:dyDescent="0.4">
      <c r="B17" s="41" t="s">
        <v>53</v>
      </c>
      <c r="C17" s="60">
        <v>0</v>
      </c>
      <c r="O17" s="27"/>
    </row>
    <row r="18" spans="2:15" ht="15.75" customHeight="1" thickBot="1" x14ac:dyDescent="0.4">
      <c r="B18" s="41" t="s">
        <v>93</v>
      </c>
      <c r="C18" s="60">
        <v>0</v>
      </c>
    </row>
    <row r="19" spans="2:15" ht="15.75" customHeight="1" thickBot="1" x14ac:dyDescent="0.4">
      <c r="B19" s="41" t="s">
        <v>94</v>
      </c>
      <c r="C19" s="60">
        <v>0</v>
      </c>
    </row>
    <row r="20" spans="2:15" ht="15.75" customHeight="1" thickBot="1" x14ac:dyDescent="0.4">
      <c r="B20" s="41" t="s">
        <v>95</v>
      </c>
      <c r="C20" s="60">
        <v>0</v>
      </c>
    </row>
    <row r="21" spans="2:15" ht="15.75" customHeight="1" thickBot="1" x14ac:dyDescent="0.4">
      <c r="B21" s="47" t="s">
        <v>96</v>
      </c>
      <c r="C21" s="60">
        <v>0</v>
      </c>
    </row>
    <row r="22" spans="2:15" ht="15.75" customHeight="1" thickBot="1" x14ac:dyDescent="0.4">
      <c r="B22" s="70" t="s">
        <v>83</v>
      </c>
      <c r="C22" s="71"/>
    </row>
    <row r="23" spans="2:15" ht="24" customHeight="1" thickBot="1" x14ac:dyDescent="0.4">
      <c r="B23" s="37" t="s">
        <v>84</v>
      </c>
      <c r="C23" s="36">
        <f>C14+(C15+C17+C18+C19+C20+C21)</f>
        <v>8453.3339800000012</v>
      </c>
    </row>
  </sheetData>
  <mergeCells count="9">
    <mergeCell ref="B16:C16"/>
    <mergeCell ref="B22:C22"/>
    <mergeCell ref="B3:C3"/>
    <mergeCell ref="O2:P2"/>
    <mergeCell ref="O13:P13"/>
    <mergeCell ref="O14:P14"/>
    <mergeCell ref="B2:C2"/>
    <mergeCell ref="B4:C4"/>
    <mergeCell ref="B10:C1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400-000000000000}">
          <x14:formula1>
            <xm:f>LISTAS!$E$2:$E$3</xm:f>
          </x14:formula1>
          <xm:sqref>C6</xm:sqref>
        </x14:dataValidation>
        <x14:dataValidation type="list" allowBlank="1" showInputMessage="1" showErrorMessage="1" xr:uid="{00000000-0002-0000-0400-000001000000}">
          <x14:formula1>
            <xm:f>LISTAS!$A$2:$A$7</xm:f>
          </x14:formula1>
          <xm:sqref>C7</xm:sqref>
        </x14:dataValidation>
        <x14:dataValidation type="list" allowBlank="1" showInputMessage="1" showErrorMessage="1" xr:uid="{00000000-0002-0000-0400-000002000000}">
          <x14:formula1>
            <xm:f>LISTAS!$C$2:$C$6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"/>
  <sheetViews>
    <sheetView showGridLines="0" tabSelected="1" zoomScale="70" zoomScaleNormal="70" workbookViewId="0">
      <selection activeCell="H11" sqref="H11"/>
    </sheetView>
  </sheetViews>
  <sheetFormatPr defaultColWidth="9.1796875" defaultRowHeight="14.5" x14ac:dyDescent="0.35"/>
  <cols>
    <col min="1" max="1" width="49.54296875" style="6" customWidth="1"/>
    <col min="2" max="6" width="31.1796875" style="19" customWidth="1"/>
    <col min="7" max="16384" width="9.1796875" style="6"/>
  </cols>
  <sheetData>
    <row r="1" spans="1:6" ht="25.5" customHeight="1" x14ac:dyDescent="0.35">
      <c r="B1" s="81" t="s">
        <v>48</v>
      </c>
      <c r="C1" s="81"/>
      <c r="D1" s="81"/>
      <c r="E1" s="81"/>
      <c r="F1" s="81"/>
    </row>
    <row r="2" spans="1:6" ht="17.25" customHeight="1" x14ac:dyDescent="0.35">
      <c r="A2" s="68" t="s">
        <v>103</v>
      </c>
      <c r="B2" s="15" t="s">
        <v>38</v>
      </c>
      <c r="C2" s="16" t="s">
        <v>39</v>
      </c>
      <c r="D2" s="17" t="s">
        <v>40</v>
      </c>
      <c r="E2" s="18" t="s">
        <v>41</v>
      </c>
      <c r="F2" s="17" t="s">
        <v>42</v>
      </c>
    </row>
    <row r="3" spans="1:6" ht="21.75" customHeight="1" x14ac:dyDescent="0.35">
      <c r="A3" s="2" t="s">
        <v>77</v>
      </c>
      <c r="B3" s="1" t="s">
        <v>68</v>
      </c>
      <c r="C3" s="3" t="s">
        <v>69</v>
      </c>
      <c r="D3" s="4" t="s">
        <v>70</v>
      </c>
      <c r="E3" s="5" t="s">
        <v>71</v>
      </c>
      <c r="F3" s="4" t="s">
        <v>72</v>
      </c>
    </row>
    <row r="4" spans="1:6" x14ac:dyDescent="0.35">
      <c r="A4" s="7" t="s">
        <v>24</v>
      </c>
      <c r="B4" s="67">
        <v>2132.4699999999998</v>
      </c>
      <c r="C4" s="67">
        <v>2645.46</v>
      </c>
      <c r="D4" s="67">
        <v>3695.78</v>
      </c>
      <c r="E4" s="67">
        <v>2636.71</v>
      </c>
      <c r="F4" s="67">
        <v>2266.91</v>
      </c>
    </row>
    <row r="5" spans="1:6" x14ac:dyDescent="0.35">
      <c r="A5" s="7" t="s">
        <v>26</v>
      </c>
      <c r="B5" s="67">
        <v>3172.91</v>
      </c>
      <c r="C5" s="67">
        <v>4835.8</v>
      </c>
      <c r="D5" s="67">
        <v>6671.65</v>
      </c>
      <c r="E5" s="67">
        <v>4765.78</v>
      </c>
      <c r="F5" s="67">
        <v>4282.2</v>
      </c>
    </row>
    <row r="6" spans="1:6" x14ac:dyDescent="0.35">
      <c r="A6" s="7" t="s">
        <v>25</v>
      </c>
      <c r="B6" s="67">
        <v>1040.44</v>
      </c>
      <c r="C6" s="67">
        <v>2190.34</v>
      </c>
      <c r="D6" s="67">
        <v>2975.87</v>
      </c>
      <c r="E6" s="67">
        <v>2129.06</v>
      </c>
      <c r="F6" s="67">
        <v>2015.28</v>
      </c>
    </row>
    <row r="7" spans="1:6" x14ac:dyDescent="0.35">
      <c r="A7" s="7" t="s">
        <v>21</v>
      </c>
      <c r="B7" s="67">
        <v>1724.03</v>
      </c>
      <c r="C7" s="67">
        <v>2015.28</v>
      </c>
      <c r="D7" s="67">
        <v>3118.1</v>
      </c>
      <c r="E7" s="67">
        <v>2013.09</v>
      </c>
      <c r="F7" s="67">
        <v>1763.64</v>
      </c>
    </row>
    <row r="8" spans="1:6" x14ac:dyDescent="0.35">
      <c r="A8" s="7" t="s">
        <v>23</v>
      </c>
      <c r="B8" s="67">
        <v>2571.6799999999998</v>
      </c>
      <c r="C8" s="67">
        <v>3853.32</v>
      </c>
      <c r="D8" s="67">
        <v>5630.09</v>
      </c>
      <c r="E8" s="67">
        <v>3641.07</v>
      </c>
      <c r="F8" s="67">
        <v>3275.65</v>
      </c>
    </row>
    <row r="9" spans="1:6" x14ac:dyDescent="0.35">
      <c r="A9" s="7" t="s">
        <v>22</v>
      </c>
      <c r="B9" s="67">
        <v>847.63</v>
      </c>
      <c r="C9" s="67">
        <v>1838.04</v>
      </c>
      <c r="D9" s="67">
        <v>2511.9899999999998</v>
      </c>
      <c r="E9" s="67">
        <v>1627.98</v>
      </c>
      <c r="F9" s="67">
        <v>1512.01</v>
      </c>
    </row>
    <row r="10" spans="1:6" x14ac:dyDescent="0.35">
      <c r="A10" s="7" t="s">
        <v>6</v>
      </c>
      <c r="B10" s="67">
        <v>3714.63</v>
      </c>
      <c r="C10" s="67">
        <v>7306.22</v>
      </c>
      <c r="D10" s="67">
        <v>6098.36</v>
      </c>
      <c r="E10" s="67">
        <v>4897.07</v>
      </c>
      <c r="F10" s="67">
        <v>3021.83</v>
      </c>
    </row>
    <row r="11" spans="1:6" x14ac:dyDescent="0.35">
      <c r="A11" s="7" t="s">
        <v>8</v>
      </c>
      <c r="B11" s="67">
        <v>5496.71</v>
      </c>
      <c r="C11" s="67">
        <v>10076.41</v>
      </c>
      <c r="D11" s="67">
        <v>10557.8</v>
      </c>
      <c r="E11" s="67">
        <v>8264.6200000000008</v>
      </c>
      <c r="F11" s="67">
        <v>5288.74</v>
      </c>
    </row>
    <row r="12" spans="1:6" x14ac:dyDescent="0.35">
      <c r="A12" s="7" t="s">
        <v>7</v>
      </c>
      <c r="B12" s="67">
        <v>1782.07</v>
      </c>
      <c r="C12" s="67">
        <v>2770.19</v>
      </c>
      <c r="D12" s="67">
        <v>4459.4399999999996</v>
      </c>
      <c r="E12" s="67">
        <v>3367.56</v>
      </c>
      <c r="F12" s="67">
        <v>2266.91</v>
      </c>
    </row>
    <row r="13" spans="1:6" x14ac:dyDescent="0.35">
      <c r="A13" s="7" t="s">
        <v>3</v>
      </c>
      <c r="B13" s="67">
        <v>4039.23</v>
      </c>
      <c r="C13" s="67">
        <v>7557.85</v>
      </c>
      <c r="D13" s="67">
        <v>6818.26</v>
      </c>
      <c r="E13" s="67">
        <v>5115.88</v>
      </c>
      <c r="F13" s="67">
        <v>3275.65</v>
      </c>
    </row>
    <row r="14" spans="1:6" x14ac:dyDescent="0.35">
      <c r="A14" s="7" t="s">
        <v>5</v>
      </c>
      <c r="B14" s="67">
        <v>5842.8</v>
      </c>
      <c r="C14" s="67">
        <v>10581.87</v>
      </c>
      <c r="D14" s="67">
        <v>12588.39</v>
      </c>
      <c r="E14" s="67">
        <v>8702.25</v>
      </c>
      <c r="F14" s="67">
        <v>5669.48</v>
      </c>
    </row>
    <row r="15" spans="1:6" x14ac:dyDescent="0.35">
      <c r="A15" s="7" t="s">
        <v>4</v>
      </c>
      <c r="B15" s="67">
        <v>1803.57</v>
      </c>
      <c r="C15" s="67">
        <v>3024.02</v>
      </c>
      <c r="D15" s="67">
        <v>5332.5</v>
      </c>
      <c r="E15" s="67">
        <v>3586.37</v>
      </c>
      <c r="F15" s="67">
        <v>2393.83</v>
      </c>
    </row>
    <row r="16" spans="1:6" x14ac:dyDescent="0.35">
      <c r="A16" s="7" t="s">
        <v>0</v>
      </c>
      <c r="B16" s="67">
        <v>4432.62</v>
      </c>
      <c r="C16" s="67">
        <v>7899.2</v>
      </c>
      <c r="D16" s="67">
        <v>7299.65</v>
      </c>
      <c r="E16" s="67">
        <v>5332.5</v>
      </c>
      <c r="F16" s="67">
        <v>3577.62</v>
      </c>
    </row>
    <row r="17" spans="1:6" x14ac:dyDescent="0.35">
      <c r="A17" s="7" t="s">
        <v>2</v>
      </c>
      <c r="B17" s="67">
        <v>6517.8</v>
      </c>
      <c r="C17" s="67">
        <v>10671.57</v>
      </c>
      <c r="D17" s="67">
        <v>13069.78</v>
      </c>
      <c r="E17" s="67">
        <v>9137.69</v>
      </c>
      <c r="F17" s="67">
        <v>6096.17</v>
      </c>
    </row>
    <row r="18" spans="1:6" x14ac:dyDescent="0.35">
      <c r="A18" s="7" t="s">
        <v>1</v>
      </c>
      <c r="B18" s="67">
        <v>2085.1799999999998</v>
      </c>
      <c r="C18" s="67">
        <v>2772.38</v>
      </c>
      <c r="D18" s="67">
        <v>5770.13</v>
      </c>
      <c r="E18" s="67">
        <v>3805.19</v>
      </c>
      <c r="F18" s="67">
        <v>2518.56</v>
      </c>
    </row>
    <row r="19" spans="1:6" x14ac:dyDescent="0.35">
      <c r="A19" s="7" t="s">
        <v>12</v>
      </c>
      <c r="B19" s="67">
        <v>6960.64</v>
      </c>
      <c r="C19" s="67">
        <v>10076.41</v>
      </c>
      <c r="D19" s="67">
        <v>11448.37</v>
      </c>
      <c r="E19" s="67">
        <v>7953.9</v>
      </c>
      <c r="F19" s="67">
        <v>9067.67</v>
      </c>
    </row>
    <row r="20" spans="1:6" x14ac:dyDescent="0.35">
      <c r="A20" s="7" t="s">
        <v>14</v>
      </c>
      <c r="B20" s="67">
        <v>10395.81</v>
      </c>
      <c r="C20" s="67">
        <v>13855.33</v>
      </c>
      <c r="D20" s="67">
        <v>18529.2</v>
      </c>
      <c r="E20" s="67">
        <v>14124.47</v>
      </c>
      <c r="F20" s="67">
        <v>12468.05</v>
      </c>
    </row>
    <row r="21" spans="1:6" x14ac:dyDescent="0.35">
      <c r="A21" s="7" t="s">
        <v>13</v>
      </c>
      <c r="B21" s="67">
        <v>3435.18</v>
      </c>
      <c r="C21" s="67">
        <v>3778.92</v>
      </c>
      <c r="D21" s="67">
        <v>7080.84</v>
      </c>
      <c r="E21" s="67">
        <v>6170.57</v>
      </c>
      <c r="F21" s="67">
        <v>3400.38</v>
      </c>
    </row>
    <row r="22" spans="1:6" x14ac:dyDescent="0.35">
      <c r="A22" s="7" t="s">
        <v>30</v>
      </c>
      <c r="B22" s="67">
        <v>6982.14</v>
      </c>
      <c r="C22" s="67">
        <v>10076.41</v>
      </c>
      <c r="D22" s="67">
        <v>11111.39</v>
      </c>
      <c r="E22" s="67">
        <v>8899.19</v>
      </c>
      <c r="F22" s="67">
        <v>8564.4</v>
      </c>
    </row>
    <row r="23" spans="1:6" x14ac:dyDescent="0.35">
      <c r="A23" s="7" t="s">
        <v>31</v>
      </c>
      <c r="B23" s="67">
        <v>3830.71</v>
      </c>
      <c r="C23" s="67">
        <v>7809.49</v>
      </c>
      <c r="D23" s="67">
        <v>8391.5300000000007</v>
      </c>
      <c r="E23" s="67">
        <v>5770.13</v>
      </c>
      <c r="F23" s="67">
        <v>7557.85</v>
      </c>
    </row>
    <row r="24" spans="1:6" x14ac:dyDescent="0.35">
      <c r="A24" s="7" t="s">
        <v>32</v>
      </c>
      <c r="B24" s="67">
        <v>10812.85</v>
      </c>
      <c r="C24" s="67">
        <v>17885.89</v>
      </c>
      <c r="D24" s="67">
        <v>19502.93</v>
      </c>
      <c r="E24" s="67">
        <v>14669.32</v>
      </c>
      <c r="F24" s="67">
        <v>16122.25</v>
      </c>
    </row>
    <row r="25" spans="1:6" x14ac:dyDescent="0.35">
      <c r="A25" s="7" t="s">
        <v>45</v>
      </c>
      <c r="B25" s="67">
        <v>7680.34</v>
      </c>
      <c r="C25" s="67">
        <v>11082.95</v>
      </c>
      <c r="D25" s="67">
        <v>12323.63</v>
      </c>
      <c r="E25" s="67">
        <v>9964.81</v>
      </c>
      <c r="F25" s="69">
        <v>9194.59</v>
      </c>
    </row>
    <row r="26" spans="1:6" x14ac:dyDescent="0.35">
      <c r="A26" s="7" t="s">
        <v>46</v>
      </c>
      <c r="B26" s="67">
        <v>4213.78</v>
      </c>
      <c r="C26" s="67">
        <v>7304.03</v>
      </c>
      <c r="D26" s="67">
        <v>9921.0499999999993</v>
      </c>
      <c r="E26" s="67">
        <v>7080.84</v>
      </c>
      <c r="F26" s="67">
        <v>7557.85</v>
      </c>
    </row>
    <row r="27" spans="1:6" x14ac:dyDescent="0.35">
      <c r="A27" s="7" t="s">
        <v>43</v>
      </c>
      <c r="B27" s="67">
        <v>4748.63</v>
      </c>
      <c r="C27" s="67">
        <v>11586.23</v>
      </c>
      <c r="D27" s="67">
        <v>11885.99</v>
      </c>
      <c r="E27" s="67">
        <v>9527.17</v>
      </c>
      <c r="F27" s="67">
        <v>9573.1299999999992</v>
      </c>
    </row>
    <row r="28" spans="1:6" x14ac:dyDescent="0.35">
      <c r="A28" s="7" t="s">
        <v>44</v>
      </c>
      <c r="B28" s="67"/>
      <c r="C28" s="67">
        <v>7809.49</v>
      </c>
      <c r="D28" s="67">
        <v>9481.23</v>
      </c>
      <c r="E28" s="67">
        <v>6643.21</v>
      </c>
      <c r="F28" s="67">
        <v>7807.3</v>
      </c>
    </row>
    <row r="29" spans="1:6" x14ac:dyDescent="0.35">
      <c r="A29" s="7" t="s">
        <v>9</v>
      </c>
      <c r="B29" s="67">
        <v>4748.63</v>
      </c>
      <c r="C29" s="67">
        <v>9067.67</v>
      </c>
      <c r="D29" s="67">
        <v>11448.37</v>
      </c>
      <c r="E29" s="67">
        <v>5770.13</v>
      </c>
      <c r="F29" s="67">
        <v>8061.12</v>
      </c>
    </row>
    <row r="30" spans="1:6" x14ac:dyDescent="0.35">
      <c r="A30" s="7" t="s">
        <v>11</v>
      </c>
      <c r="B30" s="67">
        <v>7010.08</v>
      </c>
      <c r="C30" s="67">
        <v>12089.5</v>
      </c>
      <c r="D30" s="67">
        <v>13988.8</v>
      </c>
      <c r="E30" s="67">
        <v>10229.57</v>
      </c>
      <c r="F30" s="67">
        <v>11082.95</v>
      </c>
    </row>
    <row r="31" spans="1:6" x14ac:dyDescent="0.35">
      <c r="A31" s="7" t="s">
        <v>10</v>
      </c>
      <c r="B31" s="67">
        <v>2261.4499999999998</v>
      </c>
      <c r="C31" s="67">
        <v>3021.83</v>
      </c>
      <c r="D31" s="67">
        <v>6207.77</v>
      </c>
      <c r="E31" s="69">
        <v>4459.4399999999996</v>
      </c>
      <c r="F31" s="67">
        <v>3021.83</v>
      </c>
    </row>
    <row r="32" spans="1:6" x14ac:dyDescent="0.35">
      <c r="A32" s="7" t="s">
        <v>33</v>
      </c>
      <c r="B32" s="67">
        <v>3491.06</v>
      </c>
      <c r="C32" s="29"/>
      <c r="D32" s="29"/>
      <c r="E32" s="29"/>
      <c r="F32" s="29"/>
    </row>
    <row r="33" spans="1:6" x14ac:dyDescent="0.35">
      <c r="A33" s="7" t="s">
        <v>34</v>
      </c>
      <c r="B33" s="67">
        <v>1915.36</v>
      </c>
      <c r="C33" s="29"/>
      <c r="D33" s="29"/>
      <c r="E33" s="29"/>
      <c r="F33" s="29"/>
    </row>
    <row r="34" spans="1:6" x14ac:dyDescent="0.35">
      <c r="A34" s="7" t="s">
        <v>17</v>
      </c>
      <c r="B34" s="67">
        <v>343.94</v>
      </c>
      <c r="C34" s="29"/>
      <c r="D34" s="29"/>
      <c r="E34" s="29"/>
      <c r="F34" s="29"/>
    </row>
    <row r="35" spans="1:6" x14ac:dyDescent="0.35">
      <c r="A35" s="7" t="s">
        <v>18</v>
      </c>
      <c r="B35" s="67">
        <v>294.5</v>
      </c>
      <c r="C35" s="29"/>
      <c r="D35" s="29"/>
      <c r="E35" s="29"/>
      <c r="F35" s="29"/>
    </row>
    <row r="36" spans="1:6" x14ac:dyDescent="0.35">
      <c r="A36" s="7" t="s">
        <v>36</v>
      </c>
      <c r="B36" s="67"/>
      <c r="C36" s="29"/>
      <c r="D36" s="67">
        <v>150.41999999999999</v>
      </c>
      <c r="E36" s="29"/>
      <c r="F36" s="29"/>
    </row>
    <row r="37" spans="1:6" x14ac:dyDescent="0.35">
      <c r="A37" s="7" t="s">
        <v>37</v>
      </c>
      <c r="B37" s="67"/>
      <c r="C37" s="29"/>
      <c r="D37" s="67">
        <v>187.42</v>
      </c>
      <c r="E37" s="29"/>
      <c r="F37" s="29"/>
    </row>
    <row r="38" spans="1:6" x14ac:dyDescent="0.35">
      <c r="A38" s="7" t="s">
        <v>19</v>
      </c>
      <c r="B38" s="67">
        <v>657.8</v>
      </c>
      <c r="C38" s="67">
        <v>1006.55</v>
      </c>
      <c r="D38" s="67">
        <v>1772.4</v>
      </c>
      <c r="E38" s="67">
        <v>1293.19</v>
      </c>
      <c r="F38" s="67">
        <v>428.87</v>
      </c>
    </row>
    <row r="39" spans="1:6" x14ac:dyDescent="0.35">
      <c r="A39" s="7" t="s">
        <v>20</v>
      </c>
      <c r="B39" s="67">
        <v>358.68</v>
      </c>
      <c r="C39" s="67">
        <v>879.63</v>
      </c>
      <c r="D39" s="67">
        <v>1435.42</v>
      </c>
      <c r="E39" s="67">
        <v>1052.49</v>
      </c>
      <c r="F39" s="67">
        <v>378.55</v>
      </c>
    </row>
    <row r="40" spans="1:6" x14ac:dyDescent="0.35">
      <c r="A40" s="7" t="s">
        <v>15</v>
      </c>
      <c r="B40" s="67">
        <v>6489.86</v>
      </c>
      <c r="C40" s="67">
        <v>1006.55</v>
      </c>
      <c r="D40" s="67">
        <v>9912.2900000000009</v>
      </c>
      <c r="E40" s="67">
        <v>7676.01</v>
      </c>
      <c r="F40" s="67">
        <v>6800.75</v>
      </c>
    </row>
    <row r="41" spans="1:6" x14ac:dyDescent="0.35">
      <c r="A41" s="7" t="s">
        <v>16</v>
      </c>
      <c r="B41" s="67">
        <v>2186.2199999999998</v>
      </c>
      <c r="C41" s="67">
        <v>7258.07</v>
      </c>
      <c r="D41" s="67">
        <v>7080.84</v>
      </c>
      <c r="E41" s="67">
        <v>4805.8599999999997</v>
      </c>
      <c r="F41" s="67">
        <v>5794.21</v>
      </c>
    </row>
    <row r="42" spans="1:6" x14ac:dyDescent="0.35">
      <c r="A42" s="7" t="s">
        <v>27</v>
      </c>
      <c r="B42" s="67">
        <v>2437.09</v>
      </c>
      <c r="C42" s="67">
        <v>2770.19</v>
      </c>
      <c r="D42" s="67">
        <v>4199.05</v>
      </c>
      <c r="E42" s="67">
        <v>2975.87</v>
      </c>
      <c r="F42" s="67">
        <v>2518.56</v>
      </c>
    </row>
    <row r="43" spans="1:6" x14ac:dyDescent="0.35">
      <c r="A43" s="7" t="s">
        <v>29</v>
      </c>
      <c r="B43" s="29">
        <v>3770.52</v>
      </c>
      <c r="C43" s="67">
        <v>5238.42</v>
      </c>
      <c r="D43" s="67">
        <v>7851.06</v>
      </c>
      <c r="E43" s="67">
        <v>5374.08</v>
      </c>
      <c r="F43" s="67">
        <v>4785.47</v>
      </c>
    </row>
    <row r="44" spans="1:6" x14ac:dyDescent="0.35">
      <c r="A44" s="7" t="s">
        <v>28</v>
      </c>
      <c r="B44" s="29">
        <v>1179.3699999999999</v>
      </c>
      <c r="C44" s="69">
        <v>2468.23</v>
      </c>
      <c r="D44" s="67">
        <v>3652.01</v>
      </c>
      <c r="E44" s="67">
        <v>2398.21</v>
      </c>
      <c r="F44" s="67">
        <v>2266.91</v>
      </c>
    </row>
    <row r="46" spans="1:6" x14ac:dyDescent="0.35">
      <c r="B46" s="6"/>
      <c r="C46" s="6"/>
      <c r="D46" s="6"/>
      <c r="E46" s="6"/>
      <c r="F46" s="6"/>
    </row>
    <row r="47" spans="1:6" x14ac:dyDescent="0.35">
      <c r="B47" s="6"/>
      <c r="C47" s="6"/>
      <c r="D47" s="6"/>
      <c r="E47" s="6"/>
      <c r="F47" s="6"/>
    </row>
    <row r="48" spans="1:6" x14ac:dyDescent="0.35">
      <c r="B48" s="6"/>
      <c r="C48" s="6"/>
      <c r="D48" s="6"/>
      <c r="E48" s="6"/>
      <c r="F48" s="6"/>
    </row>
    <row r="49" spans="2:6" x14ac:dyDescent="0.35">
      <c r="B49" s="6"/>
      <c r="C49" s="6"/>
      <c r="D49" s="6"/>
      <c r="E49" s="6"/>
      <c r="F49" s="6"/>
    </row>
    <row r="50" spans="2:6" x14ac:dyDescent="0.35">
      <c r="B50" s="6"/>
      <c r="C50" s="6"/>
      <c r="D50" s="6"/>
      <c r="E50" s="6"/>
      <c r="F50" s="6"/>
    </row>
    <row r="51" spans="2:6" x14ac:dyDescent="0.35">
      <c r="B51" s="6"/>
      <c r="C51" s="6"/>
      <c r="D51" s="6"/>
      <c r="E51" s="6"/>
      <c r="F51" s="6"/>
    </row>
    <row r="52" spans="2:6" x14ac:dyDescent="0.35">
      <c r="B52" s="6"/>
      <c r="C52" s="6"/>
      <c r="D52" s="6"/>
      <c r="E52" s="6"/>
      <c r="F52" s="6"/>
    </row>
    <row r="53" spans="2:6" x14ac:dyDescent="0.35">
      <c r="B53" s="6"/>
      <c r="C53" s="6"/>
      <c r="D53" s="6"/>
      <c r="E53" s="6"/>
      <c r="F53" s="6"/>
    </row>
    <row r="54" spans="2:6" x14ac:dyDescent="0.35">
      <c r="B54" s="6"/>
      <c r="C54" s="6"/>
      <c r="D54" s="6"/>
      <c r="E54" s="6"/>
      <c r="F54" s="6"/>
    </row>
    <row r="55" spans="2:6" x14ac:dyDescent="0.35">
      <c r="B55" s="6"/>
      <c r="C55" s="6"/>
      <c r="D55" s="6"/>
      <c r="E55" s="6"/>
      <c r="F55" s="6"/>
    </row>
    <row r="56" spans="2:6" x14ac:dyDescent="0.35">
      <c r="B56" s="6"/>
      <c r="C56" s="6"/>
      <c r="D56" s="6"/>
      <c r="E56" s="6"/>
      <c r="F56" s="6"/>
    </row>
    <row r="57" spans="2:6" x14ac:dyDescent="0.35">
      <c r="B57" s="6"/>
      <c r="C57" s="6"/>
      <c r="D57" s="6"/>
      <c r="E57" s="6"/>
      <c r="F57" s="6"/>
    </row>
    <row r="58" spans="2:6" x14ac:dyDescent="0.35">
      <c r="B58" s="6"/>
      <c r="C58" s="6"/>
      <c r="D58" s="6"/>
      <c r="E58" s="6"/>
      <c r="F58" s="6"/>
    </row>
    <row r="59" spans="2:6" x14ac:dyDescent="0.35">
      <c r="B59" s="6"/>
      <c r="C59" s="6"/>
      <c r="D59" s="6"/>
      <c r="E59" s="6"/>
      <c r="F59" s="6"/>
    </row>
    <row r="60" spans="2:6" x14ac:dyDescent="0.35">
      <c r="B60" s="6"/>
      <c r="C60" s="6"/>
      <c r="D60" s="6"/>
      <c r="E60" s="6"/>
      <c r="F60" s="6"/>
    </row>
    <row r="61" spans="2:6" x14ac:dyDescent="0.35">
      <c r="B61" s="6"/>
      <c r="C61" s="6"/>
      <c r="D61" s="6"/>
      <c r="E61" s="6"/>
      <c r="F61" s="6"/>
    </row>
    <row r="62" spans="2:6" x14ac:dyDescent="0.35">
      <c r="B62" s="6"/>
      <c r="C62" s="6"/>
      <c r="D62" s="6"/>
      <c r="E62" s="6"/>
      <c r="F62" s="6"/>
    </row>
    <row r="63" spans="2:6" x14ac:dyDescent="0.35">
      <c r="B63" s="6"/>
      <c r="C63" s="6"/>
      <c r="D63" s="6"/>
      <c r="E63" s="6"/>
      <c r="F63" s="6"/>
    </row>
    <row r="64" spans="2:6" x14ac:dyDescent="0.35">
      <c r="B64" s="6"/>
      <c r="C64" s="6"/>
      <c r="D64" s="6"/>
      <c r="E64" s="6"/>
      <c r="F64" s="6"/>
    </row>
    <row r="65" spans="2:6" x14ac:dyDescent="0.35">
      <c r="B65" s="6"/>
      <c r="C65" s="6"/>
      <c r="D65" s="6"/>
      <c r="E65" s="6"/>
      <c r="F65" s="6"/>
    </row>
    <row r="66" spans="2:6" x14ac:dyDescent="0.35">
      <c r="B66" s="6"/>
      <c r="C66" s="6"/>
      <c r="D66" s="6"/>
      <c r="E66" s="6"/>
      <c r="F66" s="6"/>
    </row>
    <row r="67" spans="2:6" x14ac:dyDescent="0.35">
      <c r="B67" s="6"/>
      <c r="C67" s="6"/>
      <c r="D67" s="6"/>
      <c r="E67" s="6"/>
      <c r="F67" s="6"/>
    </row>
    <row r="68" spans="2:6" x14ac:dyDescent="0.35">
      <c r="B68" s="6"/>
      <c r="C68" s="6"/>
      <c r="D68" s="6"/>
      <c r="E68" s="6"/>
      <c r="F68" s="6"/>
    </row>
    <row r="69" spans="2:6" x14ac:dyDescent="0.35">
      <c r="B69" s="6"/>
      <c r="C69" s="6"/>
      <c r="D69" s="6"/>
      <c r="E69" s="6"/>
      <c r="F69" s="6"/>
    </row>
    <row r="70" spans="2:6" x14ac:dyDescent="0.35">
      <c r="B70" s="6"/>
      <c r="C70" s="6"/>
      <c r="D70" s="6"/>
      <c r="E70" s="6"/>
      <c r="F70" s="6"/>
    </row>
    <row r="71" spans="2:6" x14ac:dyDescent="0.35">
      <c r="B71" s="6"/>
      <c r="C71" s="6"/>
      <c r="D71" s="6"/>
      <c r="E71" s="6"/>
      <c r="F71" s="6"/>
    </row>
    <row r="72" spans="2:6" x14ac:dyDescent="0.35">
      <c r="B72" s="6"/>
      <c r="C72" s="6"/>
      <c r="D72" s="6"/>
      <c r="E72" s="6"/>
      <c r="F72" s="6"/>
    </row>
    <row r="73" spans="2:6" x14ac:dyDescent="0.35">
      <c r="B73" s="6"/>
      <c r="C73" s="6"/>
      <c r="D73" s="6"/>
      <c r="E73" s="6"/>
      <c r="F73" s="6"/>
    </row>
    <row r="74" spans="2:6" x14ac:dyDescent="0.35">
      <c r="B74" s="6"/>
      <c r="C74" s="6"/>
      <c r="D74" s="6"/>
      <c r="E74" s="6"/>
      <c r="F74" s="6"/>
    </row>
    <row r="75" spans="2:6" x14ac:dyDescent="0.35">
      <c r="B75" s="6"/>
      <c r="C75" s="6"/>
      <c r="D75" s="6"/>
      <c r="E75" s="6"/>
      <c r="F75" s="6"/>
    </row>
    <row r="76" spans="2:6" x14ac:dyDescent="0.35">
      <c r="B76" s="6"/>
      <c r="C76" s="6"/>
      <c r="D76" s="6"/>
      <c r="E76" s="6"/>
      <c r="F76" s="6"/>
    </row>
    <row r="77" spans="2:6" x14ac:dyDescent="0.35">
      <c r="B77" s="6"/>
      <c r="C77" s="6"/>
      <c r="D77" s="6"/>
      <c r="E77" s="6"/>
      <c r="F77" s="6"/>
    </row>
    <row r="78" spans="2:6" x14ac:dyDescent="0.35">
      <c r="B78" s="6"/>
      <c r="C78" s="6"/>
      <c r="D78" s="6"/>
      <c r="E78" s="6"/>
      <c r="F78" s="6"/>
    </row>
    <row r="79" spans="2:6" x14ac:dyDescent="0.35">
      <c r="B79" s="6"/>
      <c r="C79" s="6"/>
      <c r="D79" s="6"/>
      <c r="E79" s="6"/>
      <c r="F79" s="6"/>
    </row>
    <row r="80" spans="2:6" x14ac:dyDescent="0.35">
      <c r="B80" s="6"/>
      <c r="C80" s="6"/>
      <c r="D80" s="6"/>
      <c r="E80" s="6"/>
      <c r="F80" s="6"/>
    </row>
    <row r="81" spans="2:6" x14ac:dyDescent="0.35">
      <c r="B81" s="6"/>
      <c r="C81" s="6"/>
      <c r="D81" s="6"/>
      <c r="E81" s="6"/>
      <c r="F81" s="6"/>
    </row>
    <row r="82" spans="2:6" x14ac:dyDescent="0.35">
      <c r="B82" s="6"/>
      <c r="C82" s="6"/>
      <c r="D82" s="6"/>
      <c r="E82" s="6"/>
      <c r="F82" s="6"/>
    </row>
    <row r="83" spans="2:6" x14ac:dyDescent="0.35">
      <c r="B83" s="6"/>
      <c r="C83" s="6"/>
      <c r="D83" s="6"/>
      <c r="E83" s="6"/>
      <c r="F83" s="6"/>
    </row>
    <row r="84" spans="2:6" x14ac:dyDescent="0.35">
      <c r="B84" s="6"/>
      <c r="C84" s="6"/>
      <c r="D84" s="6"/>
      <c r="E84" s="6"/>
      <c r="F84" s="6"/>
    </row>
    <row r="85" spans="2:6" x14ac:dyDescent="0.35">
      <c r="B85" s="6"/>
      <c r="C85" s="6"/>
      <c r="D85" s="6"/>
      <c r="E85" s="6"/>
      <c r="F85" s="6"/>
    </row>
    <row r="86" spans="2:6" x14ac:dyDescent="0.35">
      <c r="B86" s="6"/>
      <c r="C86" s="6"/>
      <c r="D86" s="6"/>
      <c r="E86" s="6"/>
      <c r="F86" s="6"/>
    </row>
    <row r="87" spans="2:6" x14ac:dyDescent="0.35">
      <c r="B87" s="6"/>
      <c r="C87" s="6"/>
      <c r="D87" s="6"/>
      <c r="E87" s="6"/>
      <c r="F87" s="6"/>
    </row>
    <row r="88" spans="2:6" x14ac:dyDescent="0.35">
      <c r="B88" s="6"/>
      <c r="C88" s="6"/>
      <c r="D88" s="6"/>
      <c r="E88" s="6"/>
      <c r="F88" s="6"/>
    </row>
    <row r="89" spans="2:6" x14ac:dyDescent="0.35">
      <c r="B89" s="6"/>
      <c r="C89" s="6"/>
      <c r="D89" s="6"/>
      <c r="E89" s="6"/>
      <c r="F89" s="6"/>
    </row>
    <row r="90" spans="2:6" x14ac:dyDescent="0.35">
      <c r="B90" s="6"/>
      <c r="C90" s="6"/>
      <c r="D90" s="6"/>
      <c r="E90" s="6"/>
      <c r="F90" s="6"/>
    </row>
    <row r="91" spans="2:6" x14ac:dyDescent="0.35">
      <c r="B91" s="6"/>
      <c r="C91" s="6"/>
      <c r="D91" s="6"/>
      <c r="E91" s="6"/>
      <c r="F91" s="6"/>
    </row>
    <row r="92" spans="2:6" x14ac:dyDescent="0.35">
      <c r="B92" s="6"/>
      <c r="C92" s="6"/>
      <c r="D92" s="6"/>
      <c r="E92" s="6"/>
      <c r="F92" s="6"/>
    </row>
    <row r="93" spans="2:6" x14ac:dyDescent="0.35">
      <c r="B93" s="6"/>
      <c r="C93" s="6"/>
      <c r="D93" s="6"/>
      <c r="E93" s="6"/>
      <c r="F93" s="6"/>
    </row>
    <row r="94" spans="2:6" x14ac:dyDescent="0.35">
      <c r="B94" s="6"/>
      <c r="C94" s="6"/>
      <c r="D94" s="6"/>
      <c r="E94" s="6"/>
      <c r="F94" s="6"/>
    </row>
  </sheetData>
  <mergeCells count="1">
    <mergeCell ref="B1:F1"/>
  </mergeCells>
  <conditionalFormatting sqref="A216:A1048576 A2:A44">
    <cfRule type="duplicateValues" dxfId="2" priority="4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9.1796875" defaultRowHeight="14.5" x14ac:dyDescent="0.35"/>
  <cols>
    <col min="1" max="1" width="49.54296875" style="6" customWidth="1"/>
    <col min="2" max="6" width="31.1796875" style="19" customWidth="1"/>
    <col min="7" max="7" width="9.1796875" style="6" customWidth="1"/>
    <col min="8" max="8" width="33" style="6" bestFit="1" customWidth="1"/>
    <col min="9" max="9" width="16.54296875" style="6" bestFit="1" customWidth="1"/>
    <col min="10" max="10" width="15.54296875" style="6" bestFit="1" customWidth="1"/>
    <col min="11" max="11" width="15.1796875" style="6" bestFit="1" customWidth="1"/>
    <col min="12" max="12" width="16.26953125" style="6" bestFit="1" customWidth="1"/>
    <col min="13" max="13" width="22.7265625" style="6" bestFit="1" customWidth="1"/>
    <col min="14" max="14" width="9.1796875" style="6"/>
    <col min="15" max="15" width="15.453125" style="6" customWidth="1"/>
    <col min="16" max="16" width="14.26953125" style="6" customWidth="1"/>
    <col min="17" max="17" width="16.7265625" style="6" customWidth="1"/>
    <col min="18" max="18" width="15.81640625" style="6" customWidth="1"/>
    <col min="19" max="19" width="18.7265625" style="6" customWidth="1"/>
    <col min="20" max="16384" width="9.1796875" style="6"/>
  </cols>
  <sheetData>
    <row r="1" spans="1:19" ht="25.5" customHeight="1" x14ac:dyDescent="0.35">
      <c r="B1" s="81" t="s">
        <v>48</v>
      </c>
      <c r="C1" s="81"/>
      <c r="D1" s="81"/>
      <c r="E1" s="81"/>
      <c r="F1" s="81"/>
      <c r="I1" s="81" t="s">
        <v>48</v>
      </c>
      <c r="J1" s="81"/>
      <c r="K1" s="81"/>
      <c r="L1" s="81"/>
      <c r="M1" s="81"/>
    </row>
    <row r="2" spans="1:19" ht="17.25" customHeight="1" x14ac:dyDescent="0.35">
      <c r="A2" s="31" t="s">
        <v>47</v>
      </c>
      <c r="B2" s="15" t="s">
        <v>38</v>
      </c>
      <c r="C2" s="16" t="s">
        <v>39</v>
      </c>
      <c r="D2" s="17" t="s">
        <v>40</v>
      </c>
      <c r="E2" s="18" t="s">
        <v>41</v>
      </c>
      <c r="F2" s="17" t="s">
        <v>42</v>
      </c>
      <c r="H2" s="31" t="s">
        <v>47</v>
      </c>
      <c r="I2" s="15" t="s">
        <v>38</v>
      </c>
      <c r="J2" s="16" t="s">
        <v>39</v>
      </c>
      <c r="K2" s="17" t="s">
        <v>40</v>
      </c>
      <c r="L2" s="18" t="s">
        <v>41</v>
      </c>
      <c r="M2" s="17" t="s">
        <v>42</v>
      </c>
    </row>
    <row r="3" spans="1:19" ht="21.75" customHeight="1" x14ac:dyDescent="0.35">
      <c r="A3" s="2" t="s">
        <v>77</v>
      </c>
      <c r="B3" s="1" t="s">
        <v>68</v>
      </c>
      <c r="C3" s="3" t="s">
        <v>69</v>
      </c>
      <c r="D3" s="4" t="s">
        <v>70</v>
      </c>
      <c r="E3" s="5" t="s">
        <v>71</v>
      </c>
      <c r="F3" s="4" t="s">
        <v>72</v>
      </c>
      <c r="H3" s="2" t="s">
        <v>77</v>
      </c>
      <c r="I3" s="1" t="s">
        <v>68</v>
      </c>
      <c r="J3" s="3" t="s">
        <v>69</v>
      </c>
      <c r="K3" s="4" t="s">
        <v>70</v>
      </c>
      <c r="L3" s="5" t="s">
        <v>71</v>
      </c>
      <c r="M3" s="4" t="s">
        <v>72</v>
      </c>
    </row>
    <row r="4" spans="1:19" x14ac:dyDescent="0.35">
      <c r="A4" s="7" t="s">
        <v>35</v>
      </c>
      <c r="B4" s="29">
        <v>361.41</v>
      </c>
      <c r="C4" s="29">
        <v>604.35</v>
      </c>
      <c r="D4" s="29">
        <v>573.87</v>
      </c>
      <c r="E4" s="29">
        <v>462.47</v>
      </c>
      <c r="F4" s="29">
        <v>285.47000000000003</v>
      </c>
      <c r="H4" s="7" t="s">
        <v>35</v>
      </c>
      <c r="I4" s="29">
        <v>273.36284999999998</v>
      </c>
      <c r="J4" s="30">
        <v>457.12712499999998</v>
      </c>
      <c r="K4" s="30">
        <v>445.20612499999999</v>
      </c>
      <c r="L4" s="30">
        <v>349.80399999999997</v>
      </c>
      <c r="M4" s="30">
        <v>538.69724999999994</v>
      </c>
      <c r="O4" s="15" t="s">
        <v>38</v>
      </c>
      <c r="P4" s="16" t="s">
        <v>39</v>
      </c>
      <c r="Q4" s="17" t="s">
        <v>40</v>
      </c>
      <c r="R4" s="18" t="s">
        <v>41</v>
      </c>
      <c r="S4" s="17" t="s">
        <v>42</v>
      </c>
    </row>
    <row r="5" spans="1:19" x14ac:dyDescent="0.35">
      <c r="A5" s="7" t="s">
        <v>89</v>
      </c>
      <c r="B5" s="29">
        <v>361.41</v>
      </c>
      <c r="C5" s="29">
        <v>604.35</v>
      </c>
      <c r="D5" s="29">
        <v>573.87</v>
      </c>
      <c r="E5" s="29">
        <v>462.47</v>
      </c>
      <c r="F5" s="29">
        <v>285.47000000000003</v>
      </c>
      <c r="H5" s="7" t="s">
        <v>89</v>
      </c>
      <c r="I5" s="29">
        <v>273.36284999999998</v>
      </c>
      <c r="J5" s="30">
        <v>457.12712499999998</v>
      </c>
      <c r="K5" s="30">
        <v>445.20612499999999</v>
      </c>
      <c r="L5" s="30">
        <v>349.80399999999997</v>
      </c>
      <c r="M5" s="30">
        <v>538.69724999999994</v>
      </c>
      <c r="O5" s="1" t="s">
        <v>68</v>
      </c>
      <c r="P5" s="3" t="s">
        <v>69</v>
      </c>
      <c r="Q5" s="4" t="s">
        <v>70</v>
      </c>
      <c r="R5" s="5" t="s">
        <v>71</v>
      </c>
      <c r="S5" s="4" t="s">
        <v>72</v>
      </c>
    </row>
    <row r="6" spans="1:19" x14ac:dyDescent="0.35">
      <c r="O6" s="29">
        <v>306.16639199999997</v>
      </c>
      <c r="P6" s="30">
        <v>511.98237999999998</v>
      </c>
      <c r="Q6" s="30">
        <v>498.63085999999998</v>
      </c>
      <c r="R6" s="30">
        <v>391.78047999999995</v>
      </c>
      <c r="S6" s="30">
        <v>603.34091999999987</v>
      </c>
    </row>
    <row r="7" spans="1:19" x14ac:dyDescent="0.35">
      <c r="O7" s="29">
        <v>306.16639199999997</v>
      </c>
      <c r="P7" s="30">
        <v>511.98237999999998</v>
      </c>
      <c r="Q7" s="30">
        <v>498.63085999999998</v>
      </c>
      <c r="R7" s="30">
        <v>391.78047999999995</v>
      </c>
      <c r="S7" s="30">
        <v>603.34091999999987</v>
      </c>
    </row>
  </sheetData>
  <mergeCells count="2">
    <mergeCell ref="B1:F1"/>
    <mergeCell ref="I1:M1"/>
  </mergeCells>
  <conditionalFormatting sqref="A178:A1048576 A2:A5">
    <cfRule type="duplicateValues" dxfId="1" priority="2"/>
  </conditionalFormatting>
  <conditionalFormatting sqref="H2:H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A83-5459-4FA0-90C8-A7E607476A75}">
  <dimension ref="B1:Q28"/>
  <sheetViews>
    <sheetView showGridLines="0" zoomScale="80" zoomScaleNormal="80" workbookViewId="0">
      <selection activeCell="T19" sqref="T19"/>
    </sheetView>
  </sheetViews>
  <sheetFormatPr defaultColWidth="9.1796875" defaultRowHeight="15.75" customHeight="1" x14ac:dyDescent="0.35"/>
  <cols>
    <col min="1" max="1" width="3.453125" style="9" customWidth="1"/>
    <col min="2" max="2" width="27.81640625" style="9" customWidth="1"/>
    <col min="3" max="3" width="50.453125" style="11" customWidth="1"/>
    <col min="4" max="4" width="3.7265625" style="9" customWidth="1"/>
    <col min="5" max="6" width="9.1796875" style="9"/>
    <col min="7" max="7" width="9.1796875" style="9" customWidth="1"/>
    <col min="8" max="11" width="9.1796875" style="9"/>
    <col min="12" max="13" width="9.1796875" style="9" customWidth="1"/>
    <col min="14" max="14" width="9.1796875" style="9"/>
    <col min="15" max="15" width="16" style="9" bestFit="1" customWidth="1"/>
    <col min="16" max="16" width="12.453125" style="9" bestFit="1" customWidth="1"/>
    <col min="17" max="16384" width="9.1796875" style="9"/>
  </cols>
  <sheetData>
    <row r="1" spans="2:17" ht="12" customHeight="1" x14ac:dyDescent="0.35"/>
    <row r="2" spans="2:17" ht="21.75" customHeight="1" thickBot="1" x14ac:dyDescent="0.4">
      <c r="B2" s="73" t="s">
        <v>74</v>
      </c>
      <c r="C2" s="73"/>
    </row>
    <row r="3" spans="2:17" ht="18" customHeight="1" thickBot="1" x14ac:dyDescent="0.4">
      <c r="B3" s="72" t="s">
        <v>75</v>
      </c>
      <c r="C3" s="72"/>
      <c r="P3" s="10"/>
    </row>
    <row r="4" spans="2:17" ht="15.75" customHeight="1" thickBot="1" x14ac:dyDescent="0.4">
      <c r="B4" s="12" t="s">
        <v>49</v>
      </c>
      <c r="C4" s="55" t="s">
        <v>78</v>
      </c>
    </row>
    <row r="5" spans="2:17" ht="15.75" customHeight="1" thickBot="1" x14ac:dyDescent="0.4">
      <c r="B5" s="12" t="s">
        <v>50</v>
      </c>
      <c r="C5" s="55" t="s">
        <v>30</v>
      </c>
    </row>
    <row r="6" spans="2:17" ht="15.75" customHeight="1" thickBot="1" x14ac:dyDescent="0.4">
      <c r="B6" s="12" t="s">
        <v>85</v>
      </c>
      <c r="C6" s="56" t="s">
        <v>86</v>
      </c>
    </row>
    <row r="7" spans="2:17" ht="15.75" customHeight="1" thickBot="1" x14ac:dyDescent="0.4">
      <c r="B7" s="12" t="s">
        <v>51</v>
      </c>
      <c r="C7" s="56">
        <v>0</v>
      </c>
      <c r="Q7" s="24"/>
    </row>
    <row r="8" spans="2:17" ht="18" customHeight="1" thickBot="1" x14ac:dyDescent="0.4">
      <c r="B8" s="72" t="s">
        <v>76</v>
      </c>
      <c r="C8" s="72"/>
    </row>
    <row r="9" spans="2:17" ht="15.75" customHeight="1" thickBot="1" x14ac:dyDescent="0.4">
      <c r="B9" s="12" t="s">
        <v>63</v>
      </c>
      <c r="C9" s="33">
        <v>4308.6400000000003</v>
      </c>
      <c r="Q9" s="23"/>
    </row>
    <row r="10" spans="2:17" ht="15.75" customHeight="1" thickBot="1" x14ac:dyDescent="0.4">
      <c r="B10" s="12" t="s">
        <v>64</v>
      </c>
      <c r="C10" s="26">
        <f>IF(C4&lt;&gt;"BLM - MCP - BLM",19%,12%)</f>
        <v>0.12</v>
      </c>
    </row>
    <row r="11" spans="2:17" ht="15.75" customHeight="1" thickBot="1" x14ac:dyDescent="0.4">
      <c r="B11" s="12" t="s">
        <v>65</v>
      </c>
      <c r="C11" s="33">
        <f>C9-(C9*C10)</f>
        <v>3791.6032000000005</v>
      </c>
    </row>
    <row r="12" spans="2:17" ht="15.75" customHeight="1" thickBot="1" x14ac:dyDescent="0.4">
      <c r="B12" s="12" t="s">
        <v>66</v>
      </c>
      <c r="C12" s="33">
        <f>IF(C7=10%,C9*(1-10%),IF(C7=5%,C9*(1-5%),IF(C7=7%,C9*(1-7%),IF(C7=15%,C9*(1-15%),IF(C7=20%,C9*(1-20%),IF(C7=0%,C9,"SELECIONE O VALOR"))))))</f>
        <v>4308.6400000000003</v>
      </c>
    </row>
    <row r="13" spans="2:17" ht="18" customHeight="1" thickBot="1" x14ac:dyDescent="0.4">
      <c r="B13" s="70" t="s">
        <v>67</v>
      </c>
      <c r="C13" s="71"/>
    </row>
    <row r="14" spans="2:17" ht="15.75" customHeight="1" thickBot="1" x14ac:dyDescent="0.4">
      <c r="B14" s="12" t="s">
        <v>52</v>
      </c>
      <c r="C14" s="57">
        <v>0</v>
      </c>
      <c r="O14" s="27"/>
      <c r="P14" s="28"/>
    </row>
    <row r="15" spans="2:17" ht="15.75" customHeight="1" thickBot="1" x14ac:dyDescent="0.4">
      <c r="B15" s="12" t="s">
        <v>62</v>
      </c>
      <c r="C15" s="33">
        <f>IF(C6&lt;&gt;"IDA E VOLTA",(IF(C4&lt;&gt;"BLM - MCP - BLM",(C14*0.2%/0.81),(C14*0.2%/0.88))),((IF(C4&lt;&gt;"BLM - MCP - BLM",(C14*0.2%/0.81),(C14*0.2%/0.88)))*2))</f>
        <v>0</v>
      </c>
      <c r="O15" s="27"/>
      <c r="P15" s="28"/>
    </row>
    <row r="16" spans="2:17" ht="18" customHeight="1" thickBot="1" x14ac:dyDescent="0.4">
      <c r="B16" s="70" t="s">
        <v>73</v>
      </c>
      <c r="C16" s="71"/>
      <c r="O16" s="27"/>
      <c r="P16" s="28"/>
    </row>
    <row r="17" spans="2:16" ht="15.75" customHeight="1" thickBot="1" x14ac:dyDescent="0.4">
      <c r="B17" s="12" t="s">
        <v>54</v>
      </c>
      <c r="C17" s="57">
        <v>0</v>
      </c>
      <c r="O17" s="27"/>
      <c r="P17" s="28"/>
    </row>
    <row r="18" spans="2:16" ht="15.75" customHeight="1" thickBot="1" x14ac:dyDescent="0.4">
      <c r="B18" s="12" t="s">
        <v>53</v>
      </c>
      <c r="C18" s="57">
        <v>0</v>
      </c>
      <c r="O18" s="27"/>
      <c r="P18" s="28"/>
    </row>
    <row r="19" spans="2:16" ht="15.75" customHeight="1" thickBot="1" x14ac:dyDescent="0.4">
      <c r="B19" s="12" t="s">
        <v>55</v>
      </c>
      <c r="C19" s="57">
        <v>0</v>
      </c>
    </row>
    <row r="20" spans="2:16" ht="15.75" customHeight="1" thickBot="1" x14ac:dyDescent="0.4">
      <c r="B20" s="12" t="s">
        <v>56</v>
      </c>
      <c r="C20" s="57">
        <v>0</v>
      </c>
    </row>
    <row r="21" spans="2:16" ht="15.75" customHeight="1" thickBot="1" x14ac:dyDescent="0.4">
      <c r="B21" s="12" t="s">
        <v>57</v>
      </c>
      <c r="C21" s="57">
        <v>0</v>
      </c>
    </row>
    <row r="22" spans="2:16" ht="15.75" customHeight="1" thickBot="1" x14ac:dyDescent="0.4">
      <c r="B22" s="12" t="s">
        <v>58</v>
      </c>
      <c r="C22" s="57">
        <v>0</v>
      </c>
    </row>
    <row r="23" spans="2:16" ht="15.75" customHeight="1" thickBot="1" x14ac:dyDescent="0.4">
      <c r="B23" s="12" t="s">
        <v>59</v>
      </c>
      <c r="C23" s="57">
        <v>0</v>
      </c>
    </row>
    <row r="24" spans="2:16" ht="15.75" customHeight="1" thickBot="1" x14ac:dyDescent="0.4">
      <c r="B24" s="12" t="s">
        <v>60</v>
      </c>
      <c r="C24" s="57">
        <v>0</v>
      </c>
    </row>
    <row r="25" spans="2:16" ht="15.75" customHeight="1" thickBot="1" x14ac:dyDescent="0.4">
      <c r="B25" s="12" t="s">
        <v>61</v>
      </c>
      <c r="C25" s="57">
        <v>0</v>
      </c>
    </row>
    <row r="26" spans="2:16" ht="15.75" customHeight="1" thickBot="1" x14ac:dyDescent="0.4">
      <c r="B26" s="54" t="s">
        <v>96</v>
      </c>
      <c r="C26" s="57">
        <v>0</v>
      </c>
    </row>
    <row r="27" spans="2:16" ht="15.75" customHeight="1" thickBot="1" x14ac:dyDescent="0.4">
      <c r="B27" s="70" t="s">
        <v>83</v>
      </c>
      <c r="C27" s="71"/>
    </row>
    <row r="28" spans="2:16" ht="24" customHeight="1" thickBot="1" x14ac:dyDescent="0.4">
      <c r="B28" s="32" t="s">
        <v>84</v>
      </c>
      <c r="C28" s="35">
        <f>C12+(C15+C17+C18+C19+C20+C21+C22+C23+C24+C25+C26)</f>
        <v>4308.6400000000003</v>
      </c>
    </row>
  </sheetData>
  <sheetProtection autoFilter="0"/>
  <mergeCells count="6">
    <mergeCell ref="B27:C27"/>
    <mergeCell ref="B2:C2"/>
    <mergeCell ref="B3:C3"/>
    <mergeCell ref="B8:C8"/>
    <mergeCell ref="B13:C13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F5B33FB-D4F4-4127-9C0C-F9F6EA1ADA69}">
          <x14:formula1>
            <xm:f>LISTAS!$B$2:$B$42</xm:f>
          </x14:formula1>
          <xm:sqref>C5</xm:sqref>
        </x14:dataValidation>
        <x14:dataValidation type="list" allowBlank="1" showInputMessage="1" showErrorMessage="1" xr:uid="{0A8F4BC5-69F7-4481-AF17-165B92CEB1EE}">
          <x14:formula1>
            <xm:f>LISTAS!$D$2:$D$4</xm:f>
          </x14:formula1>
          <xm:sqref>C6</xm:sqref>
        </x14:dataValidation>
        <x14:dataValidation type="list" allowBlank="1" showInputMessage="1" showErrorMessage="1" xr:uid="{60A66AE7-7D26-43E1-AAC5-782014A4A10D}">
          <x14:formula1>
            <xm:f>LISTAS!$A$2:$A$7</xm:f>
          </x14:formula1>
          <xm:sqref>C7</xm:sqref>
        </x14:dataValidation>
        <x14:dataValidation type="list" allowBlank="1" showInputMessage="1" showErrorMessage="1" xr:uid="{1437A661-3CE3-4873-B7DC-E95398F7C107}">
          <x14:formula1>
            <xm:f>LISTAS!$C$2:$C$6</xm:f>
          </x14:formula1>
          <xm:sqref>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27"/>
  <sheetViews>
    <sheetView showGridLines="0" zoomScale="95" zoomScaleNormal="95" workbookViewId="0">
      <selection activeCell="C29" sqref="C29"/>
    </sheetView>
  </sheetViews>
  <sheetFormatPr defaultColWidth="9.1796875" defaultRowHeight="15.75" customHeight="1" x14ac:dyDescent="0.35"/>
  <cols>
    <col min="1" max="1" width="3.453125" style="9" customWidth="1"/>
    <col min="2" max="2" width="27.81640625" style="9" customWidth="1"/>
    <col min="3" max="3" width="50.453125" style="11" customWidth="1"/>
    <col min="4" max="4" width="3.7265625" style="9" customWidth="1"/>
    <col min="5" max="14" width="9.1796875" style="9"/>
    <col min="15" max="15" width="16" style="9" bestFit="1" customWidth="1"/>
    <col min="16" max="16" width="12.453125" style="9" bestFit="1" customWidth="1"/>
    <col min="17" max="16384" width="9.1796875" style="9"/>
  </cols>
  <sheetData>
    <row r="1" spans="2:17" ht="9" customHeight="1" x14ac:dyDescent="0.35"/>
    <row r="2" spans="2:17" ht="21.75" customHeight="1" thickBot="1" x14ac:dyDescent="0.4">
      <c r="B2" s="73" t="s">
        <v>74</v>
      </c>
      <c r="C2" s="73"/>
    </row>
    <row r="3" spans="2:17" ht="18" customHeight="1" thickBot="1" x14ac:dyDescent="0.4">
      <c r="B3" s="72" t="s">
        <v>75</v>
      </c>
      <c r="C3" s="72"/>
      <c r="P3" s="10"/>
    </row>
    <row r="4" spans="2:17" ht="15.75" customHeight="1" thickBot="1" x14ac:dyDescent="0.4">
      <c r="B4" s="12" t="s">
        <v>49</v>
      </c>
      <c r="C4" s="20" t="s">
        <v>78</v>
      </c>
    </row>
    <row r="5" spans="2:17" ht="15.75" customHeight="1" thickBot="1" x14ac:dyDescent="0.4">
      <c r="B5" s="12" t="s">
        <v>50</v>
      </c>
      <c r="C5" s="20" t="s">
        <v>14</v>
      </c>
    </row>
    <row r="6" spans="2:17" ht="15.75" customHeight="1" thickBot="1" x14ac:dyDescent="0.4">
      <c r="B6" s="12" t="s">
        <v>85</v>
      </c>
      <c r="C6" s="21" t="s">
        <v>87</v>
      </c>
    </row>
    <row r="7" spans="2:17" ht="15.75" customHeight="1" thickBot="1" x14ac:dyDescent="0.4">
      <c r="B7" s="12" t="s">
        <v>51</v>
      </c>
      <c r="C7" s="21">
        <v>0</v>
      </c>
      <c r="Q7" s="24"/>
    </row>
    <row r="8" spans="2:17" ht="18" customHeight="1" thickBot="1" x14ac:dyDescent="0.4">
      <c r="B8" s="72" t="s">
        <v>76</v>
      </c>
      <c r="C8" s="72"/>
    </row>
    <row r="9" spans="2:17" ht="15.75" customHeight="1" thickBot="1" x14ac:dyDescent="0.4">
      <c r="B9" s="12" t="s">
        <v>63</v>
      </c>
      <c r="C9" s="33">
        <f>IF(C4="BLM - ALT - BLM",VLOOKUP(C5,Tabela1[],3,0),IF(C4="BLM - ITB - BLM",VLOOKUP(C5,Tabela1[],4,0),IF(C4="BLM - MCP - BLM",VLOOKUP(C5,Tabela1[],2,0),IF(C4="BLM - STM - BLM",VLOOKUP(C5,Tabela1[],5,0),IF(C4="STM - ITB - STM",VLOOKUP(C5,Tabela1[],6,0),0)))))</f>
        <v>10395.81</v>
      </c>
      <c r="Q9" s="23"/>
    </row>
    <row r="10" spans="2:17" ht="15.75" customHeight="1" thickBot="1" x14ac:dyDescent="0.4">
      <c r="B10" s="12" t="s">
        <v>64</v>
      </c>
      <c r="C10" s="26">
        <f>IF(C4&lt;&gt;"BLM - MCP - BLM",19%,12%)</f>
        <v>0.12</v>
      </c>
    </row>
    <row r="11" spans="2:17" ht="15.75" customHeight="1" thickBot="1" x14ac:dyDescent="0.4">
      <c r="B11" s="12" t="s">
        <v>65</v>
      </c>
      <c r="C11" s="33">
        <f>C9-(C9*C10)</f>
        <v>9148.3127999999997</v>
      </c>
    </row>
    <row r="12" spans="2:17" ht="15.75" customHeight="1" thickBot="1" x14ac:dyDescent="0.4">
      <c r="B12" s="12" t="s">
        <v>66</v>
      </c>
      <c r="C12" s="33">
        <f>IF(C7=10%,C9*(1-10%),IF(C7=5%,C9*(1-5%),IF(C7=7%,C9*(1-7%),IF(C7=15%,C9*(1-15%),IF(C7=20%,C9*(1-20%),IF(C7=0%,C9,"SELECIONE O VALOR"))))))</f>
        <v>10395.81</v>
      </c>
    </row>
    <row r="13" spans="2:17" ht="18" customHeight="1" thickBot="1" x14ac:dyDescent="0.4">
      <c r="B13" s="70" t="s">
        <v>67</v>
      </c>
      <c r="C13" s="71"/>
    </row>
    <row r="14" spans="2:17" ht="15.75" customHeight="1" thickBot="1" x14ac:dyDescent="0.4">
      <c r="B14" s="12" t="s">
        <v>52</v>
      </c>
      <c r="C14" s="34">
        <v>0</v>
      </c>
      <c r="O14" s="27"/>
      <c r="P14" s="28"/>
    </row>
    <row r="15" spans="2:17" ht="15.75" customHeight="1" thickBot="1" x14ac:dyDescent="0.4">
      <c r="B15" s="12" t="s">
        <v>62</v>
      </c>
      <c r="C15" s="33">
        <f>IF(C6&lt;&gt;"IDA E VOLTA",(IF(C4&lt;&gt;"BLM - MCP - BLM",(C14*0.2%/0.81),(C14*0.2%/0.88))),((IF(C4&lt;&gt;"BLM - MCP - BLM",(C14*0.2%/0.81),(C14*0.2%/0.88)))*2))</f>
        <v>0</v>
      </c>
      <c r="O15" s="27"/>
      <c r="P15" s="28"/>
    </row>
    <row r="16" spans="2:17" ht="18" customHeight="1" thickBot="1" x14ac:dyDescent="0.4">
      <c r="B16" s="70" t="s">
        <v>73</v>
      </c>
      <c r="C16" s="71"/>
      <c r="O16" s="27"/>
      <c r="P16" s="28"/>
    </row>
    <row r="17" spans="2:16" ht="15.75" customHeight="1" thickBot="1" x14ac:dyDescent="0.4">
      <c r="B17" s="12" t="s">
        <v>54</v>
      </c>
      <c r="C17" s="34">
        <v>0</v>
      </c>
      <c r="O17" s="27"/>
      <c r="P17" s="28"/>
    </row>
    <row r="18" spans="2:16" ht="15.75" customHeight="1" thickBot="1" x14ac:dyDescent="0.4">
      <c r="B18" s="12" t="s">
        <v>53</v>
      </c>
      <c r="C18" s="34">
        <v>0</v>
      </c>
      <c r="O18" s="27"/>
      <c r="P18" s="28"/>
    </row>
    <row r="19" spans="2:16" ht="15.75" customHeight="1" thickBot="1" x14ac:dyDescent="0.4">
      <c r="B19" s="12" t="s">
        <v>55</v>
      </c>
      <c r="C19" s="34">
        <v>0</v>
      </c>
    </row>
    <row r="20" spans="2:16" ht="15.75" customHeight="1" thickBot="1" x14ac:dyDescent="0.4">
      <c r="B20" s="12" t="s">
        <v>56</v>
      </c>
      <c r="C20" s="34">
        <v>0</v>
      </c>
    </row>
    <row r="21" spans="2:16" ht="15.75" customHeight="1" thickBot="1" x14ac:dyDescent="0.4">
      <c r="B21" s="12" t="s">
        <v>57</v>
      </c>
      <c r="C21" s="34">
        <v>0</v>
      </c>
    </row>
    <row r="22" spans="2:16" ht="15.75" customHeight="1" thickBot="1" x14ac:dyDescent="0.4">
      <c r="B22" s="12" t="s">
        <v>58</v>
      </c>
      <c r="C22" s="34">
        <v>0</v>
      </c>
    </row>
    <row r="23" spans="2:16" ht="15.75" customHeight="1" thickBot="1" x14ac:dyDescent="0.4">
      <c r="B23" s="12" t="s">
        <v>59</v>
      </c>
      <c r="C23" s="34">
        <v>0</v>
      </c>
    </row>
    <row r="24" spans="2:16" ht="15.75" customHeight="1" thickBot="1" x14ac:dyDescent="0.4">
      <c r="B24" s="12" t="s">
        <v>60</v>
      </c>
      <c r="C24" s="34">
        <v>0</v>
      </c>
    </row>
    <row r="25" spans="2:16" ht="15.75" customHeight="1" thickBot="1" x14ac:dyDescent="0.4">
      <c r="B25" s="12" t="s">
        <v>61</v>
      </c>
      <c r="C25" s="34">
        <v>0</v>
      </c>
    </row>
    <row r="26" spans="2:16" ht="15.75" customHeight="1" thickBot="1" x14ac:dyDescent="0.4">
      <c r="B26" s="70" t="s">
        <v>83</v>
      </c>
      <c r="C26" s="71"/>
    </row>
    <row r="27" spans="2:16" ht="24" customHeight="1" thickBot="1" x14ac:dyDescent="0.4">
      <c r="B27" s="32" t="s">
        <v>84</v>
      </c>
      <c r="C27" s="35">
        <f>C12+(C15+C17+C18+C19+C20+C21+C22+C23+C24+C25)</f>
        <v>10395.81</v>
      </c>
    </row>
  </sheetData>
  <mergeCells count="6">
    <mergeCell ref="B26:C26"/>
    <mergeCell ref="B2:C2"/>
    <mergeCell ref="B3:C3"/>
    <mergeCell ref="B8:C8"/>
    <mergeCell ref="B13:C13"/>
    <mergeCell ref="B16:C1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LISTAS!$B$2:$B$42</xm:f>
          </x14:formula1>
          <xm:sqref>C5</xm:sqref>
        </x14:dataValidation>
        <x14:dataValidation type="list" allowBlank="1" showInputMessage="1" showErrorMessage="1" xr:uid="{00000000-0002-0000-0500-000001000000}">
          <x14:formula1>
            <xm:f>LISTAS!$D$2:$D$4</xm:f>
          </x14:formula1>
          <xm:sqref>C6</xm:sqref>
        </x14:dataValidation>
        <x14:dataValidation type="list" allowBlank="1" showInputMessage="1" showErrorMessage="1" xr:uid="{00000000-0002-0000-0500-000002000000}">
          <x14:formula1>
            <xm:f>LISTAS!$A$2:$A$7</xm:f>
          </x14:formula1>
          <xm:sqref>C7</xm:sqref>
        </x14:dataValidation>
        <x14:dataValidation type="list" allowBlank="1" showInputMessage="1" showErrorMessage="1" xr:uid="{00000000-0002-0000-0500-000003000000}">
          <x14:formula1>
            <xm:f>LISTAS!$C$2:$C$6</xm:f>
          </x14:formula1>
          <xm:sqref>C4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23"/>
  <sheetViews>
    <sheetView showGridLines="0" zoomScale="95" zoomScaleNormal="95" workbookViewId="0">
      <selection activeCell="O23" sqref="O23"/>
    </sheetView>
  </sheetViews>
  <sheetFormatPr defaultColWidth="9.1796875" defaultRowHeight="15.75" customHeight="1" x14ac:dyDescent="0.35"/>
  <cols>
    <col min="1" max="1" width="3.453125" style="9" customWidth="1"/>
    <col min="2" max="2" width="27.81640625" style="9" customWidth="1"/>
    <col min="3" max="3" width="50.453125" style="11" customWidth="1"/>
    <col min="4" max="4" width="3.7265625" style="9" customWidth="1"/>
    <col min="5" max="13" width="9.1796875" style="9"/>
    <col min="14" max="14" width="5.1796875" style="9" customWidth="1"/>
    <col min="15" max="15" width="16" style="9" bestFit="1" customWidth="1"/>
    <col min="16" max="16" width="14.81640625" style="10" customWidth="1"/>
    <col min="17" max="16384" width="9.1796875" style="9"/>
  </cols>
  <sheetData>
    <row r="1" spans="2:17" ht="9" customHeight="1" x14ac:dyDescent="0.35"/>
    <row r="2" spans="2:17" ht="21.75" customHeight="1" thickBot="1" x14ac:dyDescent="0.4">
      <c r="B2" s="79" t="s">
        <v>92</v>
      </c>
      <c r="C2" s="79"/>
      <c r="O2" s="77" t="s">
        <v>97</v>
      </c>
      <c r="P2" s="77"/>
    </row>
    <row r="3" spans="2:17" ht="15.75" customHeight="1" thickBot="1" x14ac:dyDescent="0.4">
      <c r="B3" s="82" t="str">
        <f>IF(AND(C5=O4,P10&lt;P4),O14,IF(AND(C5=O5,P10&lt;P5),O14,IF(AND(C5=O6,P10&lt;P6),O14,IF(AND(C5=O7,P10&lt;P7),O14,IF(AND(C5=O8,P10&lt;P8),O14,O13)))))</f>
        <v>BASEADO NO VALOR MÍNIMO DO FRETE</v>
      </c>
      <c r="C3" s="82"/>
      <c r="O3" s="48" t="s">
        <v>98</v>
      </c>
      <c r="P3" s="50" t="s">
        <v>99</v>
      </c>
    </row>
    <row r="4" spans="2:17" ht="18" customHeight="1" thickBot="1" x14ac:dyDescent="0.4">
      <c r="B4" s="80" t="s">
        <v>75</v>
      </c>
      <c r="C4" s="80"/>
      <c r="O4" s="8" t="s">
        <v>79</v>
      </c>
      <c r="P4" s="49">
        <v>5597.38</v>
      </c>
    </row>
    <row r="5" spans="2:17" ht="15.75" customHeight="1" thickBot="1" x14ac:dyDescent="0.4">
      <c r="B5" s="41" t="s">
        <v>49</v>
      </c>
      <c r="C5" s="38" t="s">
        <v>82</v>
      </c>
      <c r="O5" s="8" t="s">
        <v>80</v>
      </c>
      <c r="P5" s="49">
        <v>5924.35</v>
      </c>
    </row>
    <row r="6" spans="2:17" ht="15.75" customHeight="1" thickBot="1" x14ac:dyDescent="0.4">
      <c r="B6" s="41" t="s">
        <v>50</v>
      </c>
      <c r="C6" s="38" t="s">
        <v>35</v>
      </c>
      <c r="O6" s="8" t="s">
        <v>78</v>
      </c>
      <c r="P6" s="49">
        <v>4885.3900000000003</v>
      </c>
    </row>
    <row r="7" spans="2:17" ht="15.75" customHeight="1" thickBot="1" x14ac:dyDescent="0.4">
      <c r="B7" s="41" t="s">
        <v>51</v>
      </c>
      <c r="C7" s="25">
        <v>0</v>
      </c>
      <c r="O7" s="8" t="s">
        <v>81</v>
      </c>
      <c r="P7" s="22">
        <v>5276.78</v>
      </c>
      <c r="Q7" s="24"/>
    </row>
    <row r="8" spans="2:17" ht="15.75" customHeight="1" thickBot="1" x14ac:dyDescent="0.4">
      <c r="B8" s="41" t="s">
        <v>52</v>
      </c>
      <c r="C8" s="39">
        <v>500000</v>
      </c>
      <c r="O8" s="8" t="s">
        <v>82</v>
      </c>
      <c r="P8" s="22">
        <v>6635.27</v>
      </c>
      <c r="Q8" s="24"/>
    </row>
    <row r="9" spans="2:17" ht="15.75" customHeight="1" thickBot="1" x14ac:dyDescent="0.4">
      <c r="B9" s="41" t="s">
        <v>91</v>
      </c>
      <c r="C9" s="40">
        <v>20</v>
      </c>
      <c r="P9" s="51"/>
      <c r="Q9" s="24"/>
    </row>
    <row r="10" spans="2:17" ht="18" customHeight="1" thickBot="1" x14ac:dyDescent="0.4">
      <c r="B10" s="80" t="s">
        <v>76</v>
      </c>
      <c r="C10" s="80"/>
      <c r="O10" s="52" t="s">
        <v>100</v>
      </c>
      <c r="P10" s="53">
        <f>(IF(C5="BLM - ALT - BLM",VLOOKUP(C6,Tabela14[],3,0),IF(C5="BLM - ITB - BLM",VLOOKUP(C6,Tabela14[],4,0),IF(C5="BLM - MCP - BLM",VLOOKUP(C6,Tabela14[],2,0),IF(C5="BLM - STM - BLM",VLOOKUP(C6,Tabela14[],5,0),IF(C5="STM - ITB - STM",VLOOKUP(C6,Tabela14[],6,0),0))))))*C9</f>
        <v>5709.4000000000005</v>
      </c>
    </row>
    <row r="11" spans="2:17" ht="15.75" customHeight="1" thickBot="1" x14ac:dyDescent="0.4">
      <c r="B11" s="42" t="s">
        <v>63</v>
      </c>
      <c r="C11" s="44">
        <f>IF(AND(C5=O4,P10&lt;P4),P4,IF(AND(C5=O5,P10&lt;P5),P5,IF(AND(C5=O6,P10&lt;P6),P6,IF(AND(C5=O7,P10&lt;P7),P7,IF(AND(C5=O8,P10&lt;P8),P8,P10)))))</f>
        <v>6635.27</v>
      </c>
      <c r="Q11" s="23"/>
    </row>
    <row r="12" spans="2:17" ht="15.75" customHeight="1" thickBot="1" x14ac:dyDescent="0.4">
      <c r="B12" s="42" t="s">
        <v>64</v>
      </c>
      <c r="C12" s="45">
        <f>IF(C5&lt;&gt;"BLM - MCP - BLM",19%,13%)</f>
        <v>0.19</v>
      </c>
    </row>
    <row r="13" spans="2:17" ht="15.75" customHeight="1" thickBot="1" x14ac:dyDescent="0.4">
      <c r="B13" s="42" t="s">
        <v>65</v>
      </c>
      <c r="C13" s="44">
        <f>C11-(C11*C12)</f>
        <v>5374.5686999999998</v>
      </c>
      <c r="O13" s="78" t="s">
        <v>101</v>
      </c>
      <c r="P13" s="78"/>
      <c r="Q13" s="6"/>
    </row>
    <row r="14" spans="2:17" ht="15.75" customHeight="1" thickBot="1" x14ac:dyDescent="0.4">
      <c r="B14" s="43" t="s">
        <v>66</v>
      </c>
      <c r="C14" s="46">
        <f>IF(C7=10%,C11*(1-10%),IF(C7=5%,C11*(1-5%),IF(C7=7%,C11*(1-7%),IF(C7=15%,C11*(1-15%),IF(C7=20%,C11*(1-20%),IF(C7=0%,C11,"SELECIONE O VALOR"))))))</f>
        <v>6635.27</v>
      </c>
      <c r="O14" s="78" t="s">
        <v>102</v>
      </c>
      <c r="P14" s="78"/>
      <c r="Q14" s="6"/>
    </row>
    <row r="15" spans="2:17" ht="15.75" customHeight="1" thickBot="1" x14ac:dyDescent="0.4">
      <c r="B15" s="42" t="s">
        <v>62</v>
      </c>
      <c r="C15" s="44">
        <f>IF(C5&lt;&gt;"BLM - MCP - BLM",(C8*0.2%/0.81),(C8*0.2%/0.88))</f>
        <v>1234.5679012345679</v>
      </c>
    </row>
    <row r="16" spans="2:17" ht="18" customHeight="1" thickBot="1" x14ac:dyDescent="0.4">
      <c r="B16" s="74" t="s">
        <v>73</v>
      </c>
      <c r="C16" s="75"/>
    </row>
    <row r="17" spans="2:15" ht="15.75" customHeight="1" thickBot="1" x14ac:dyDescent="0.4">
      <c r="B17" s="41" t="s">
        <v>53</v>
      </c>
      <c r="C17" s="39">
        <v>0</v>
      </c>
      <c r="O17" s="27"/>
    </row>
    <row r="18" spans="2:15" ht="15.75" customHeight="1" thickBot="1" x14ac:dyDescent="0.4">
      <c r="B18" s="41" t="s">
        <v>93</v>
      </c>
      <c r="C18" s="39">
        <v>0</v>
      </c>
    </row>
    <row r="19" spans="2:15" ht="15.75" customHeight="1" thickBot="1" x14ac:dyDescent="0.4">
      <c r="B19" s="41" t="s">
        <v>94</v>
      </c>
      <c r="C19" s="39">
        <v>0</v>
      </c>
    </row>
    <row r="20" spans="2:15" ht="15.75" customHeight="1" thickBot="1" x14ac:dyDescent="0.4">
      <c r="B20" s="41" t="s">
        <v>95</v>
      </c>
      <c r="C20" s="39">
        <v>0</v>
      </c>
    </row>
    <row r="21" spans="2:15" ht="15.75" customHeight="1" thickBot="1" x14ac:dyDescent="0.4">
      <c r="B21" s="47" t="s">
        <v>96</v>
      </c>
      <c r="C21" s="39">
        <v>0</v>
      </c>
    </row>
    <row r="22" spans="2:15" ht="15.75" customHeight="1" thickBot="1" x14ac:dyDescent="0.4">
      <c r="B22" s="70" t="s">
        <v>83</v>
      </c>
      <c r="C22" s="71"/>
    </row>
    <row r="23" spans="2:15" ht="24" customHeight="1" thickBot="1" x14ac:dyDescent="0.4">
      <c r="B23" s="37" t="s">
        <v>84</v>
      </c>
      <c r="C23" s="36">
        <f>C14+(C17+C18+C19+C20+C21)</f>
        <v>6635.27</v>
      </c>
    </row>
  </sheetData>
  <mergeCells count="9">
    <mergeCell ref="O14:P14"/>
    <mergeCell ref="B16:C16"/>
    <mergeCell ref="B22:C22"/>
    <mergeCell ref="B2:C2"/>
    <mergeCell ref="O2:P2"/>
    <mergeCell ref="B3:C3"/>
    <mergeCell ref="B4:C4"/>
    <mergeCell ref="B10:C10"/>
    <mergeCell ref="O13:P1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LISTAS!$C$2:$C$6</xm:f>
          </x14:formula1>
          <xm:sqref>C5</xm:sqref>
        </x14:dataValidation>
        <x14:dataValidation type="list" allowBlank="1" showInputMessage="1" showErrorMessage="1" xr:uid="{00000000-0002-0000-0600-000001000000}">
          <x14:formula1>
            <xm:f>LISTAS!$A$2:$A$7</xm:f>
          </x14:formula1>
          <xm:sqref>C7</xm:sqref>
        </x14:dataValidation>
        <x14:dataValidation type="list" allowBlank="1" showInputMessage="1" showErrorMessage="1" xr:uid="{00000000-0002-0000-0600-000002000000}">
          <x14:formula1>
            <xm:f>LISTAS!$E$2:$E$3</xm:f>
          </x14:formula1>
          <xm:sqref>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LISTAS</vt:lpstr>
      <vt:lpstr>Valores Serviços Extras</vt:lpstr>
      <vt:lpstr>CÁLCULO_GERAL</vt:lpstr>
      <vt:lpstr>CÁLCULO_TON</vt:lpstr>
      <vt:lpstr>BASE_FRETE</vt:lpstr>
      <vt:lpstr>BASE_TON</vt:lpstr>
      <vt:lpstr>RASCUNHO</vt:lpstr>
      <vt:lpstr>Cópia_Geral</vt:lpstr>
      <vt:lpstr>Cópia_Ton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Thaiane Andrande dos Santos</dc:creator>
  <cp:lastModifiedBy>Kleber Luiz da Silva Pereira</cp:lastModifiedBy>
  <dcterms:created xsi:type="dcterms:W3CDTF">2023-07-20T19:39:50Z</dcterms:created>
  <dcterms:modified xsi:type="dcterms:W3CDTF">2026-01-20T19:49:23Z</dcterms:modified>
</cp:coreProperties>
</file>